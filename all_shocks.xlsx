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827"/>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6FA5A2B0-7C73-44D9-9183-2CF1F1323721}" xr6:coauthVersionLast="47" xr6:coauthVersionMax="47" xr10:uidLastSave="{00000000-0000-0000-0000-000000000000}"/>
  <bookViews>
    <workbookView xWindow="-120" yWindow="-120" windowWidth="25440" windowHeight="15990" tabRatio="805" firstSheet="6" activeTab="9"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6.1_migmed_betas_chocs" sheetId="10" r:id="rId9"/>
    <sheet name="7_PIBCroissance"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9" i="9" l="1"/>
  <c r="F29" i="9"/>
  <c r="G29" i="9"/>
  <c r="H29" i="9"/>
  <c r="I29" i="9"/>
  <c r="J29" i="9"/>
  <c r="K29" i="9"/>
  <c r="L29" i="9"/>
  <c r="M29" i="9"/>
  <c r="N29" i="9"/>
  <c r="O29" i="9"/>
  <c r="P29" i="9"/>
  <c r="Q29" i="9"/>
  <c r="R29" i="9"/>
  <c r="S29" i="9"/>
  <c r="T29" i="9"/>
  <c r="U29" i="9"/>
  <c r="V29" i="9"/>
  <c r="W29" i="9"/>
  <c r="X29" i="9"/>
  <c r="Y29" i="9"/>
  <c r="Z29" i="9"/>
  <c r="AA29" i="9"/>
  <c r="AB29" i="9"/>
  <c r="AC29" i="9"/>
  <c r="D29" i="9"/>
  <c r="E23" i="9"/>
  <c r="F23" i="9"/>
  <c r="G23" i="9" s="1"/>
  <c r="H23" i="9" s="1"/>
  <c r="I23" i="9" s="1"/>
  <c r="J23" i="9" s="1"/>
  <c r="K23" i="9" s="1"/>
  <c r="L23" i="9" s="1"/>
  <c r="M23" i="9" s="1"/>
  <c r="N23" i="9" s="1"/>
  <c r="O23" i="9" s="1"/>
  <c r="P23" i="9" s="1"/>
  <c r="Q23" i="9" s="1"/>
  <c r="R23" i="9" s="1"/>
  <c r="S23" i="9" s="1"/>
  <c r="T23" i="9" s="1"/>
  <c r="U23" i="9" s="1"/>
  <c r="V23" i="9" s="1"/>
  <c r="W23" i="9" s="1"/>
  <c r="X23" i="9" s="1"/>
  <c r="Y23" i="9" s="1"/>
  <c r="Z23" i="9" s="1"/>
  <c r="AA23" i="9" s="1"/>
  <c r="AB23" i="9" s="1"/>
  <c r="AC23" i="9" s="1"/>
  <c r="AD23" i="9" s="1"/>
  <c r="AE23" i="9" s="1"/>
  <c r="AF23" i="9" s="1"/>
  <c r="AG23" i="9" s="1"/>
  <c r="AH23" i="9" s="1"/>
  <c r="AI23" i="9" s="1"/>
  <c r="AJ23" i="9" s="1"/>
  <c r="AK23" i="9" s="1"/>
  <c r="AL23" i="9" s="1"/>
  <c r="AM23" i="9" s="1"/>
  <c r="AN23" i="9" s="1"/>
  <c r="AO23" i="9" s="1"/>
  <c r="AP23" i="9" s="1"/>
  <c r="AQ23" i="9" s="1"/>
  <c r="AR23" i="9" s="1"/>
  <c r="AR29" i="9" s="1"/>
  <c r="D23" i="9"/>
  <c r="E20" i="9"/>
  <c r="E26" i="9" s="1"/>
  <c r="F20" i="9"/>
  <c r="G20" i="9" s="1"/>
  <c r="H20" i="9" s="1"/>
  <c r="I20" i="9" s="1"/>
  <c r="J20" i="9" s="1"/>
  <c r="K20" i="9" s="1"/>
  <c r="L20" i="9" s="1"/>
  <c r="M20" i="9" s="1"/>
  <c r="N20" i="9" s="1"/>
  <c r="O20" i="9" s="1"/>
  <c r="P20" i="9" s="1"/>
  <c r="Q20" i="9" s="1"/>
  <c r="R20" i="9" s="1"/>
  <c r="S20" i="9" s="1"/>
  <c r="T20" i="9" s="1"/>
  <c r="U20" i="9" s="1"/>
  <c r="V20" i="9" s="1"/>
  <c r="W20" i="9" s="1"/>
  <c r="X20" i="9" s="1"/>
  <c r="Y20" i="9" s="1"/>
  <c r="Z20" i="9" s="1"/>
  <c r="AA20" i="9" s="1"/>
  <c r="AB20" i="9" s="1"/>
  <c r="AC20" i="9" s="1"/>
  <c r="AD20" i="9" s="1"/>
  <c r="AE20" i="9" s="1"/>
  <c r="AF20" i="9" s="1"/>
  <c r="AG20" i="9" s="1"/>
  <c r="AH20" i="9" s="1"/>
  <c r="AI20" i="9" s="1"/>
  <c r="AJ20" i="9" s="1"/>
  <c r="AK20" i="9" s="1"/>
  <c r="AL20" i="9" s="1"/>
  <c r="AM20" i="9" s="1"/>
  <c r="AN20" i="9" s="1"/>
  <c r="AO20" i="9" s="1"/>
  <c r="AP20" i="9" s="1"/>
  <c r="AQ20" i="9" s="1"/>
  <c r="AR20" i="9" s="1"/>
  <c r="AR26" i="9" s="1"/>
  <c r="E21" i="9"/>
  <c r="D20" i="9"/>
  <c r="D26" i="9" s="1"/>
  <c r="D21" i="9"/>
  <c r="D22" i="9"/>
  <c r="D19" i="9"/>
  <c r="E69" i="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 r="AN29" i="9" l="1"/>
  <c r="AJ29" i="9"/>
  <c r="AF29" i="9"/>
  <c r="AQ29" i="9"/>
  <c r="AM29" i="9"/>
  <c r="AI29" i="9"/>
  <c r="AE29" i="9"/>
  <c r="AP29" i="9"/>
  <c r="AL29" i="9"/>
  <c r="AH29" i="9"/>
  <c r="AD29" i="9"/>
  <c r="AO29" i="9"/>
  <c r="AK29" i="9"/>
  <c r="AG29" i="9"/>
  <c r="S26" i="9"/>
  <c r="K26" i="9"/>
  <c r="AJ26" i="9"/>
  <c r="AF26" i="9"/>
  <c r="AB26" i="9"/>
  <c r="E22" i="9"/>
  <c r="V26" i="9"/>
  <c r="R26" i="9"/>
  <c r="N26" i="9"/>
  <c r="J26" i="9"/>
  <c r="F26" i="9"/>
  <c r="AQ26" i="9"/>
  <c r="AM26" i="9"/>
  <c r="AI26" i="9"/>
  <c r="AE26" i="9"/>
  <c r="AA26" i="9"/>
  <c r="O26" i="9"/>
  <c r="G26" i="9"/>
  <c r="AN26" i="9"/>
  <c r="F21" i="9"/>
  <c r="U26" i="9"/>
  <c r="Q26" i="9"/>
  <c r="M26" i="9"/>
  <c r="I26" i="9"/>
  <c r="AP26" i="9"/>
  <c r="AL26" i="9"/>
  <c r="AH26" i="9"/>
  <c r="AD26" i="9"/>
  <c r="Z26" i="9"/>
  <c r="W26" i="9"/>
  <c r="E19" i="9"/>
  <c r="X26" i="9"/>
  <c r="T26" i="9"/>
  <c r="P26" i="9"/>
  <c r="L26" i="9"/>
  <c r="H26" i="9"/>
  <c r="AO26" i="9"/>
  <c r="AK26" i="9"/>
  <c r="AG26" i="9"/>
  <c r="AC26" i="9"/>
  <c r="Y26" i="9"/>
  <c r="G21" i="9" l="1"/>
  <c r="F19" i="9"/>
  <c r="F22" i="9"/>
  <c r="G19" i="9" l="1"/>
  <c r="G22" i="9"/>
  <c r="H21" i="9"/>
  <c r="H22" i="9" l="1"/>
  <c r="I21" i="9"/>
  <c r="H19" i="9"/>
  <c r="J21" i="9" l="1"/>
  <c r="I19" i="9"/>
  <c r="I22" i="9"/>
  <c r="J19" i="9" l="1"/>
  <c r="J22" i="9"/>
  <c r="K21" i="9"/>
  <c r="K22" i="9" l="1"/>
  <c r="L21" i="9"/>
  <c r="K19" i="9"/>
  <c r="M21" i="9" l="1"/>
  <c r="L19" i="9"/>
  <c r="L22" i="9"/>
  <c r="M19" i="9" l="1"/>
  <c r="M22" i="9"/>
  <c r="N21" i="9"/>
  <c r="N22" i="9" l="1"/>
  <c r="O21" i="9"/>
  <c r="N19" i="9"/>
  <c r="P21" i="9" l="1"/>
  <c r="O19" i="9"/>
  <c r="O22" i="9"/>
  <c r="P19" i="9" l="1"/>
  <c r="P22" i="9"/>
  <c r="Q21" i="9"/>
  <c r="Q22" i="9" l="1"/>
  <c r="R21" i="9"/>
  <c r="Q19" i="9"/>
  <c r="S21" i="9" l="1"/>
  <c r="R19" i="9"/>
  <c r="R22" i="9"/>
  <c r="S19" i="9" l="1"/>
  <c r="S22" i="9"/>
  <c r="T21" i="9"/>
  <c r="T22" i="9" l="1"/>
  <c r="U21" i="9"/>
  <c r="T19" i="9"/>
  <c r="V21" i="9" l="1"/>
  <c r="U19" i="9"/>
  <c r="U22" i="9"/>
  <c r="V19" i="9" l="1"/>
  <c r="V22" i="9"/>
  <c r="W21" i="9"/>
  <c r="W22" i="9" l="1"/>
  <c r="X21" i="9"/>
  <c r="W19" i="9"/>
  <c r="Y21" i="9" l="1"/>
  <c r="X27" i="9"/>
  <c r="E27" i="9"/>
  <c r="D27" i="9"/>
  <c r="F27" i="9"/>
  <c r="G27" i="9"/>
  <c r="H27" i="9"/>
  <c r="I27" i="9"/>
  <c r="J27" i="9"/>
  <c r="K27" i="9"/>
  <c r="L27" i="9"/>
  <c r="M27" i="9"/>
  <c r="N27" i="9"/>
  <c r="O27" i="9"/>
  <c r="P27" i="9"/>
  <c r="Q27" i="9"/>
  <c r="R27" i="9"/>
  <c r="S27" i="9"/>
  <c r="T27" i="9"/>
  <c r="U27" i="9"/>
  <c r="V27" i="9"/>
  <c r="W27" i="9"/>
  <c r="X19" i="9"/>
  <c r="W25" i="9"/>
  <c r="X22" i="9"/>
  <c r="W28" i="9"/>
  <c r="Y19" i="9" l="1"/>
  <c r="X25" i="9"/>
  <c r="D25" i="9"/>
  <c r="E25" i="9"/>
  <c r="F25" i="9"/>
  <c r="G25" i="9"/>
  <c r="H25" i="9"/>
  <c r="I25" i="9"/>
  <c r="J25" i="9"/>
  <c r="K25" i="9"/>
  <c r="L25" i="9"/>
  <c r="M25" i="9"/>
  <c r="N25" i="9"/>
  <c r="O25" i="9"/>
  <c r="P25" i="9"/>
  <c r="Q25" i="9"/>
  <c r="R25" i="9"/>
  <c r="S25" i="9"/>
  <c r="T25" i="9"/>
  <c r="U25" i="9"/>
  <c r="V25" i="9"/>
  <c r="Y22" i="9"/>
  <c r="X28" i="9"/>
  <c r="D28" i="9"/>
  <c r="E28" i="9"/>
  <c r="F28" i="9"/>
  <c r="G28" i="9"/>
  <c r="H28" i="9"/>
  <c r="I28" i="9"/>
  <c r="J28" i="9"/>
  <c r="K28" i="9"/>
  <c r="L28" i="9"/>
  <c r="M28" i="9"/>
  <c r="N28" i="9"/>
  <c r="O28" i="9"/>
  <c r="P28" i="9"/>
  <c r="Q28" i="9"/>
  <c r="R28" i="9"/>
  <c r="S28" i="9"/>
  <c r="T28" i="9"/>
  <c r="U28" i="9"/>
  <c r="V28" i="9"/>
  <c r="Z21" i="9"/>
  <c r="Y27" i="9"/>
  <c r="AA21" i="9" l="1"/>
  <c r="Z27" i="9"/>
  <c r="Z22" i="9"/>
  <c r="Y28" i="9"/>
  <c r="Z19" i="9"/>
  <c r="Y25" i="9"/>
  <c r="AA22" i="9" l="1"/>
  <c r="Z28" i="9"/>
  <c r="AA19" i="9"/>
  <c r="Z25" i="9"/>
  <c r="AB21" i="9"/>
  <c r="AA27" i="9"/>
  <c r="AB19" i="9" l="1"/>
  <c r="AA25" i="9"/>
  <c r="AC21" i="9"/>
  <c r="AB27" i="9"/>
  <c r="AB22" i="9"/>
  <c r="AA28" i="9"/>
  <c r="AD21" i="9" l="1"/>
  <c r="AC27" i="9"/>
  <c r="AC22" i="9"/>
  <c r="AB28" i="9"/>
  <c r="AC19" i="9"/>
  <c r="AB25" i="9"/>
  <c r="AD19" i="9" l="1"/>
  <c r="AC25" i="9"/>
  <c r="AD22" i="9"/>
  <c r="AC28" i="9"/>
  <c r="AE21" i="9"/>
  <c r="AD27" i="9"/>
  <c r="AE22" i="9" l="1"/>
  <c r="AD28" i="9"/>
  <c r="AF21" i="9"/>
  <c r="AE27" i="9"/>
  <c r="AE19" i="9"/>
  <c r="AD25" i="9"/>
  <c r="AG21" i="9" l="1"/>
  <c r="AF27" i="9"/>
  <c r="AF19" i="9"/>
  <c r="AE25" i="9"/>
  <c r="AF22" i="9"/>
  <c r="AE28" i="9"/>
  <c r="AG19" i="9" l="1"/>
  <c r="AF25" i="9"/>
  <c r="AG22" i="9"/>
  <c r="AF28" i="9"/>
  <c r="AH21" i="9"/>
  <c r="AG27" i="9"/>
  <c r="AH22" i="9" l="1"/>
  <c r="AG28" i="9"/>
  <c r="AI21" i="9"/>
  <c r="AH27" i="9"/>
  <c r="AH19" i="9"/>
  <c r="AG25" i="9"/>
  <c r="AJ21" i="9" l="1"/>
  <c r="AI27" i="9"/>
  <c r="AI19" i="9"/>
  <c r="AH25" i="9"/>
  <c r="AI22" i="9"/>
  <c r="AH28" i="9"/>
  <c r="AJ19" i="9" l="1"/>
  <c r="AI25" i="9"/>
  <c r="AJ22" i="9"/>
  <c r="AI28" i="9"/>
  <c r="AK21" i="9"/>
  <c r="AJ27" i="9"/>
  <c r="AK22" i="9" l="1"/>
  <c r="AJ28" i="9"/>
  <c r="AL21" i="9"/>
  <c r="AK27" i="9"/>
  <c r="AK19" i="9"/>
  <c r="AJ25" i="9"/>
  <c r="AM21" i="9" l="1"/>
  <c r="AL27" i="9"/>
  <c r="AL19" i="9"/>
  <c r="AK25" i="9"/>
  <c r="AL22" i="9"/>
  <c r="AK28" i="9"/>
  <c r="AM19" i="9" l="1"/>
  <c r="AL25" i="9"/>
  <c r="AM22" i="9"/>
  <c r="AL28" i="9"/>
  <c r="AN21" i="9"/>
  <c r="AM27" i="9"/>
  <c r="AN22" i="9" l="1"/>
  <c r="AM28" i="9"/>
  <c r="AO21" i="9"/>
  <c r="AN27" i="9"/>
  <c r="AN19" i="9"/>
  <c r="AM25" i="9"/>
  <c r="AP21" i="9" l="1"/>
  <c r="AO27" i="9"/>
  <c r="AO19" i="9"/>
  <c r="AN25" i="9"/>
  <c r="AO22" i="9"/>
  <c r="AN28" i="9"/>
  <c r="AP19" i="9" l="1"/>
  <c r="AO25" i="9"/>
  <c r="AP22" i="9"/>
  <c r="AO28" i="9"/>
  <c r="AQ21" i="9"/>
  <c r="AP27" i="9"/>
  <c r="AQ22" i="9" l="1"/>
  <c r="AP28" i="9"/>
  <c r="AR21" i="9"/>
  <c r="AR27" i="9" s="1"/>
  <c r="AQ27" i="9"/>
  <c r="AQ19" i="9"/>
  <c r="AP25" i="9"/>
  <c r="AR19" i="9" l="1"/>
  <c r="AR25" i="9" s="1"/>
  <c r="AQ25" i="9"/>
  <c r="AR22" i="9"/>
  <c r="AR28" i="9" s="1"/>
  <c r="AQ28" i="9"/>
</calcChain>
</file>

<file path=xl/sharedStrings.xml><?xml version="1.0" encoding="utf-8"?>
<sst xmlns="http://schemas.openxmlformats.org/spreadsheetml/2006/main" count="2147" uniqueCount="376">
  <si>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</si>
  <si>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</si>
  <si>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</si>
  <si>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</si>
  <si>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</si>
  <si>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</si>
  <si>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</si>
  <si>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</si>
  <si>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</si>
  <si>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</si>
  <si>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</si>
  <si>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</si>
  <si>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</si>
  <si>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</si>
  <si>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</si>
  <si>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</si>
  <si>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</si>
  <si>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</si>
  <si>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</si>
  <si>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</si>
  <si>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</si>
  <si>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</si>
  <si>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</si>
  <si>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</si>
  <si>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</si>
  <si>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</si>
  <si>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</si>
  <si>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</si>
  <si>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</si>
  <si>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</si>
  <si>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</si>
  <si>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</si>
  <si>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</si>
  <si>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</si>
  <si>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</si>
  <si>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</si>
  <si>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</si>
  <si>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</si>
  <si>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</si>
  <si>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</si>
  <si>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</si>
  <si>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</si>
  <si>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</si>
  <si>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</si>
  <si>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</si>
  <si>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</si>
  <si>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</si>
  <si>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</si>
  <si>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</si>
  <si>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</si>
  <si>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</si>
  <si>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</si>
  <si>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</si>
  <si>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</si>
  <si>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</si>
  <si>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</si>
  <si>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</si>
  <si>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</si>
  <si>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</si>
  <si>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</si>
  <si>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</si>
  <si>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</si>
  <si>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</si>
  <si>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</si>
  <si>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</si>
  <si>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</si>
  <si>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</si>
  <si>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</si>
  <si>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</si>
  <si>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</si>
  <si>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</si>
  <si>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</si>
  <si>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</si>
  <si>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</si>
  <si>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</si>
  <si>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</si>
  <si>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</si>
  <si>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</si>
  <si>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</si>
  <si>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</si>
  <si>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</si>
  <si>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</si>
  <si>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</si>
  <si>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</si>
  <si>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</si>
  <si>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</si>
  <si>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</si>
  <si>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</si>
  <si>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</si>
  <si>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</si>
  <si>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</si>
  <si>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</si>
  <si>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</si>
  <si>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</si>
  <si>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</si>
  <si>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</si>
  <si>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</si>
  <si>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</si>
  <si>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</si>
  <si>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</si>
  <si>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</si>
  <si>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</si>
  <si>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</si>
  <si>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</si>
  <si>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</si>
  <si>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</si>
  <si>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</si>
  <si>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</si>
  <si>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</si>
  <si>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</si>
  <si>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</si>
  <si>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</si>
  <si>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</si>
  <si>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</si>
  <si>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</si>
  <si>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</si>
  <si>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</si>
  <si>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</si>
  <si>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</si>
  <si>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</si>
  <si>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</si>
  <si>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</si>
  <si>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</si>
  <si>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</si>
  <si>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</si>
  <si>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</si>
  <si>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</si>
  <si>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</si>
  <si>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</si>
  <si>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</si>
  <si>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</si>
  <si>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</si>
  <si>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</si>
  <si>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</si>
  <si>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</si>
  <si>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</si>
  <si>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</si>
  <si>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</si>
  <si>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</si>
  <si>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</si>
  <si>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</si>
  <si>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</si>
  <si>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</si>
  <si>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</si>
  <si>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</si>
  <si>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</si>
  <si>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</si>
  <si>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</si>
  <si>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</si>
  <si>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</si>
  <si>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</si>
  <si>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</si>
  <si>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</si>
  <si>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</si>
  <si>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</si>
  <si>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</si>
  <si>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</si>
  <si>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</si>
  <si>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</si>
  <si>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</si>
  <si>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</si>
  <si>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</si>
  <si>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</si>
  <si>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</si>
  <si>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</si>
  <si>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</si>
  <si>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</si>
  <si>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</si>
  <si>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</si>
  <si>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</si>
  <si>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</si>
  <si>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</si>
  <si>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</si>
  <si>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</si>
  <si>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</si>
  <si>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</si>
  <si>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</si>
  <si>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</si>
  <si>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</si>
  <si>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</si>
  <si>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</si>
  <si>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</si>
  <si>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</si>
  <si>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</si>
  <si>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</si>
  <si>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</si>
  <si>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</si>
  <si>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</si>
  <si>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</si>
  <si>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</si>
  <si>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</si>
  <si>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</si>
  <si>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</si>
  <si>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</si>
  <si>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</si>
  <si>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</si>
  <si>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</si>
  <si>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</si>
  <si>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</si>
  <si>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</si>
  <si>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</si>
  <si>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</si>
  <si>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</si>
  <si>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</si>
  <si>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</si>
  <si>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</si>
  <si>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</si>
  <si>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</si>
  <si>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</si>
  <si>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</si>
  <si>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</si>
  <si>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</si>
  <si>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</si>
  <si>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</si>
  <si>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</si>
  <si>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</si>
  <si>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</si>
  <si>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</si>
  <si>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</si>
  <si>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</si>
  <si>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</si>
  <si>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</si>
  <si>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</si>
  <si>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</si>
  <si>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</si>
  <si>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</si>
  <si>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</si>
  <si>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</si>
  <si>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</si>
  <si>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</si>
  <si>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</si>
  <si>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</si>
  <si>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</si>
  <si>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</si>
  <si>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</si>
  <si>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</si>
  <si>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</si>
  <si>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</si>
  <si>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</si>
  <si>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</si>
  <si>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</si>
  <si>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</si>
  <si>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</si>
  <si>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</si>
  <si>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</si>
  <si>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</si>
  <si>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</si>
  <si>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</si>
  <si>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</si>
  <si>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</si>
  <si>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</si>
  <si>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</si>
  <si>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</si>
  <si>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</si>
  <si>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</si>
  <si>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</si>
  <si>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</si>
  <si>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</si>
  <si>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</si>
  <si>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</si>
  <si>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</si>
  <si>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</si>
  <si>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</si>
  <si>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</si>
  <si>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</si>
  <si>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</si>
  <si>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</si>
  <si>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</si>
  <si>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</si>
  <si>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</si>
  <si>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</si>
  <si>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</si>
  <si>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</si>
  <si>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</si>
  <si>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</si>
  <si>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</si>
  <si>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</si>
  <si>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</si>
  <si>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</si>
  <si>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</si>
  <si>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</si>
  <si>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</si>
  <si>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</si>
  <si>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</si>
  <si>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</si>
  <si>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</si>
  <si>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</si>
  <si>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</si>
  <si>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</si>
  <si>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</si>
  <si>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</si>
  <si>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</si>
  <si>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</si>
  <si>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</si>
  <si>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</si>
  <si>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</si>
  <si>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</si>
  <si>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</si>
  <si>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</si>
  <si>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</si>
  <si>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</si>
  <si>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</si>
  <si>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</si>
  <si>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</si>
  <si>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</si>
  <si>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</si>
  <si>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</si>
  <si>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</si>
  <si>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</si>
  <si>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</si>
  <si>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</si>
  <si>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</si>
  <si>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</si>
  <si>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</si>
  <si>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</si>
  <si>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</si>
  <si>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</si>
  <si>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</si>
  <si>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</si>
  <si>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</si>
  <si>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</si>
  <si>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</si>
  <si>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</si>
  <si>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</si>
  <si>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</si>
  <si>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</si>
  <si>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</si>
  <si>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</si>
  <si>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</si>
  <si>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</si>
  <si>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</si>
  <si>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</si>
  <si>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</si>
  <si>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</si>
  <si>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</si>
  <si>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</si>
  <si>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</si>
  <si>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</si>
  <si>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</si>
  <si>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</si>
  <si>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</si>
  <si>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</si>
  <si>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</si>
  <si>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</si>
  <si>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</si>
  <si>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</si>
  <si>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</si>
  <si>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</si>
  <si>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</si>
  <si>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</si>
  <si>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</si>
  <si>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</si>
  <si>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</si>
  <si>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</si>
  <si>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</si>
  <si>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</si>
  <si>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</si>
  <si>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</si>
  <si>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</si>
  <si>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</si>
  <si>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</si>
  <si>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</si>
  <si>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</si>
  <si>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</si>
  <si>
    <t xml:space="preserve">Ces chocs resultent du modele CDC une fois qu'on cible conjointement la population et la probabilité de survie comme variables exogenes et les chocs migratoires et de santé comme variables endogenes. Ces chocs donc absorbent et reproduisent les dinamiques demographiques et de santé. Les chocs medicaux sont basés sur les probabilités de survie d'un quiquennat au suivant, par niveau de qualification. </t>
  </si>
  <si>
    <t>chocs santé Q</t>
  </si>
  <si>
    <t xml:space="preserve">chocs santé NQ </t>
  </si>
  <si>
    <t>chocs migratoires Q</t>
  </si>
  <si>
    <t>chocs migratoires NQ</t>
  </si>
  <si>
    <t>% niveau de technologie normalisé: 1 au debut, niveau calculé periode par periode, puis renormalisé au niveau en 2000</t>
  </si>
  <si>
    <t>s_A_eff</t>
  </si>
  <si>
    <t>s_A_opt</t>
  </si>
  <si>
    <t>s_A_pess</t>
  </si>
  <si>
    <t>s_A_ctr</t>
  </si>
  <si>
    <t>s_dpib_des</t>
  </si>
  <si>
    <t>s_A_des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</si>
</sst>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I10" sqref="I10"/>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sqref="A1:XFD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1EC8-AE29-481E-B7ED-A60DDCF554FE}">
  <dimension ref="A1:AR74"/>
  <sheetViews>
    <sheetView zoomScale="90" zoomScaleNormal="90" workbookViewId="0">
      <selection activeCell="A23" sqref="A23:AR38"/>
    </sheetView>
  </sheetViews>
  <sheetFormatPr defaultRowHeight="15" x14ac:dyDescent="0.25"/>
  <cols>
    <col min="1" max="1" width="12.140625" customWidth="1"/>
  </cols>
  <sheetData>
    <row r="1" spans="1:44" x14ac:dyDescent="0.25">
      <c r="A1" t="s">
        <v>364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0" spans="1:44" x14ac:dyDescent="0.25">
      <c r="A40" t="s">
        <v>367</v>
      </c>
    </row>
    <row r="41" spans="1:44" x14ac:dyDescent="0.25">
      <c r="A41" t="s">
        <v>123</v>
      </c>
      <c r="B41" t="s">
        <v>0</v>
      </c>
      <c r="C41" t="s">
        <v>1</v>
      </c>
      <c r="D41">
        <v>-0.23765992451082316</v>
      </c>
      <c r="E41">
        <v>-0.18695731793189138</v>
      </c>
      <c r="F41">
        <v>-0.18612713044742829</v>
      </c>
      <c r="G41">
        <v>-0.1859276203351295</v>
      </c>
      <c r="H41">
        <v>-0.16505889252754669</v>
      </c>
      <c r="I41">
        <v>-0.16362203843434461</v>
      </c>
      <c r="J41">
        <v>-0.16500488594033907</v>
      </c>
      <c r="K41">
        <v>-0.16977086199057967</v>
      </c>
      <c r="L41">
        <v>-0.19193113011824414</v>
      </c>
      <c r="M41">
        <v>-0.17208828599906351</v>
      </c>
      <c r="N41">
        <v>-0.16309507154039671</v>
      </c>
      <c r="O41">
        <v>-0.18252984814915879</v>
      </c>
      <c r="P41">
        <v>-0.20333539976548148</v>
      </c>
      <c r="Q41">
        <v>-0.2375828557813231</v>
      </c>
      <c r="R41">
        <v>-0.2541070615676711</v>
      </c>
      <c r="S41">
        <v>-0.23811815122148347</v>
      </c>
      <c r="T41">
        <v>-0.23729036252090466</v>
      </c>
      <c r="U41">
        <v>-0.22971638149533213</v>
      </c>
      <c r="V41">
        <v>-0.21913265797363668</v>
      </c>
      <c r="W41">
        <v>-0.21994438245527503</v>
      </c>
      <c r="X41">
        <v>-0.21976303270694381</v>
      </c>
      <c r="Y41">
        <v>-0.22401022500000001</v>
      </c>
      <c r="Z41">
        <v>-0.22788744536344779</v>
      </c>
      <c r="AA41">
        <v>-0.23265679339652084</v>
      </c>
      <c r="AB41">
        <v>-0.24121146167775837</v>
      </c>
      <c r="AC41">
        <v>-0.23438413298450159</v>
      </c>
      <c r="AD41">
        <v>-0.22472962197122837</v>
      </c>
      <c r="AE41">
        <v>-0.21187147839662401</v>
      </c>
      <c r="AF41">
        <v>-0.20594724760160077</v>
      </c>
      <c r="AG41">
        <v>-0.21098515292946451</v>
      </c>
      <c r="AH41">
        <v>-0.21691975768263902</v>
      </c>
      <c r="AI41">
        <v>-0.21617162020903913</v>
      </c>
      <c r="AJ41">
        <v>-0.21105190954621189</v>
      </c>
      <c r="AK41">
        <v>-0.20380050928156765</v>
      </c>
      <c r="AL41">
        <v>-0.19777618831539345</v>
      </c>
      <c r="AM41">
        <v>-0.19563110949005091</v>
      </c>
      <c r="AN41">
        <v>-0.19681984439784561</v>
      </c>
      <c r="AO41">
        <v>-0.1980729888269504</v>
      </c>
      <c r="AP41">
        <v>-0.19664507272391135</v>
      </c>
      <c r="AQ41">
        <v>-0.19272912137853793</v>
      </c>
      <c r="AR41" t="s">
        <v>46</v>
      </c>
    </row>
    <row r="42" spans="1:44" x14ac:dyDescent="0.25">
      <c r="A42" t="s">
        <v>124</v>
      </c>
      <c r="B42" t="s">
        <v>0</v>
      </c>
      <c r="C42" t="s">
        <v>1</v>
      </c>
      <c r="D42">
        <v>-0.24086811952636158</v>
      </c>
      <c r="E42">
        <v>-8.6290077068901239E-4</v>
      </c>
      <c r="F42">
        <v>-6.1120913953702227E-5</v>
      </c>
      <c r="G42">
        <v>-1.3751794610505075E-3</v>
      </c>
      <c r="H42">
        <v>1.5773661525865998E-3</v>
      </c>
      <c r="I42">
        <v>2.1478415835063935E-3</v>
      </c>
      <c r="J42">
        <v>9.5066128604490152E-4</v>
      </c>
      <c r="K42">
        <v>-9.6156299860600258E-4</v>
      </c>
      <c r="L42">
        <v>-9.200094922839297E-3</v>
      </c>
      <c r="M42">
        <v>6.0180079313186946E-3</v>
      </c>
      <c r="N42">
        <v>1.5440652488356021E-3</v>
      </c>
      <c r="O42">
        <v>6.9720508951769816E-4</v>
      </c>
      <c r="P42">
        <v>1.9502311511431017E-3</v>
      </c>
      <c r="Q42">
        <v>1.8345883587955955E-3</v>
      </c>
      <c r="R42">
        <v>1.369850456575096E-3</v>
      </c>
      <c r="S42">
        <v>8.982073391311865E-4</v>
      </c>
      <c r="T42">
        <v>7.5707375677589589E-4</v>
      </c>
      <c r="U42">
        <v>1.1093934626413907E-3</v>
      </c>
      <c r="V42">
        <v>3.179339606662189E-3</v>
      </c>
      <c r="W42">
        <v>1.6205263828608027E-3</v>
      </c>
      <c r="X42">
        <v>1.6278919940930989E-3</v>
      </c>
      <c r="Y42">
        <v>2.4328323315952957E-3</v>
      </c>
      <c r="Z42">
        <v>2.2155377648094901E-3</v>
      </c>
      <c r="AA42">
        <v>2.434764037628899E-3</v>
      </c>
      <c r="AB42">
        <v>2.3543986329681924E-3</v>
      </c>
      <c r="AC42">
        <v>2.3247259899424957E-3</v>
      </c>
      <c r="AD42">
        <v>2.3082998161972831E-3</v>
      </c>
      <c r="AE42">
        <v>2.2990047574999936E-3</v>
      </c>
      <c r="AF42">
        <v>2.3012471809943993E-3</v>
      </c>
      <c r="AG42">
        <v>2.3058186524012106E-3</v>
      </c>
      <c r="AH42">
        <v>2.3119254711507012E-3</v>
      </c>
      <c r="AI42">
        <v>2.3164802584320007E-3</v>
      </c>
      <c r="AJ42">
        <v>2.318773050859195E-3</v>
      </c>
      <c r="AK42">
        <v>2.3207154076895845E-3</v>
      </c>
      <c r="AL42">
        <v>2.3226281426320036E-3</v>
      </c>
      <c r="AM42">
        <v>2.3246612661759966E-3</v>
      </c>
      <c r="AN42">
        <v>2.3269760443598089E-3</v>
      </c>
      <c r="AO42">
        <v>2.3291461143635159E-3</v>
      </c>
      <c r="AP42">
        <v>2.3309218185881067E-3</v>
      </c>
      <c r="AQ42">
        <v>2.3321963298691892E-3</v>
      </c>
      <c r="AR42" t="s">
        <v>46</v>
      </c>
    </row>
    <row r="43" spans="1:44" x14ac:dyDescent="0.25">
      <c r="A43" t="s">
        <v>125</v>
      </c>
      <c r="B43" t="s">
        <v>0</v>
      </c>
      <c r="C43" t="s">
        <v>1</v>
      </c>
      <c r="D43">
        <v>-0.23910608018091017</v>
      </c>
      <c r="E43">
        <v>-1.3139972677439493E-4</v>
      </c>
      <c r="F43">
        <v>-7.5508871020799062E-5</v>
      </c>
      <c r="G43">
        <v>-6.9328080726799995E-4</v>
      </c>
      <c r="H43">
        <v>8.0137840565949747E-4</v>
      </c>
      <c r="I43">
        <v>1.4855310748720998E-3</v>
      </c>
      <c r="J43">
        <v>5.4950323940530094E-4</v>
      </c>
      <c r="K43">
        <v>-1.0536529306515996E-3</v>
      </c>
      <c r="L43">
        <v>-7.7552678092793967E-3</v>
      </c>
      <c r="M43">
        <v>7.3548601003958977E-3</v>
      </c>
      <c r="N43">
        <v>2.340627382220406E-3</v>
      </c>
      <c r="O43">
        <v>5.7755435134800026E-4</v>
      </c>
      <c r="P43">
        <v>1.6907885139816059E-3</v>
      </c>
      <c r="Q43">
        <v>1.7708070402119996E-3</v>
      </c>
      <c r="R43">
        <v>1.1260807586309859E-3</v>
      </c>
      <c r="S43">
        <v>2.0284260380400154E-4</v>
      </c>
      <c r="T43">
        <v>8.8516590921308702E-5</v>
      </c>
      <c r="U43">
        <v>3.1381523590469362E-4</v>
      </c>
      <c r="V43">
        <v>2.2081660218339905E-3</v>
      </c>
      <c r="W43">
        <v>9.5122284503799948E-4</v>
      </c>
      <c r="X43">
        <v>1.2260930181687835E-3</v>
      </c>
      <c r="Y43">
        <v>1.9988136384705008E-3</v>
      </c>
      <c r="Z43">
        <v>2.1854614627687119E-3</v>
      </c>
      <c r="AA43">
        <v>2.4576105086996092E-3</v>
      </c>
      <c r="AB43">
        <v>2.322491809535504E-3</v>
      </c>
      <c r="AC43">
        <v>2.294073581745798E-3</v>
      </c>
      <c r="AD43">
        <v>2.2785196553012921E-3</v>
      </c>
      <c r="AE43">
        <v>2.2747187034618116E-3</v>
      </c>
      <c r="AF43">
        <v>2.2768006126921148E-3</v>
      </c>
      <c r="AG43">
        <v>2.2789817471396828E-3</v>
      </c>
      <c r="AH43">
        <v>2.2830463836927828E-3</v>
      </c>
      <c r="AI43">
        <v>2.2885373758621125E-3</v>
      </c>
      <c r="AJ43">
        <v>2.292886747079198E-3</v>
      </c>
      <c r="AK43">
        <v>2.2951732814508186E-3</v>
      </c>
      <c r="AL43">
        <v>2.2969542493245093E-3</v>
      </c>
      <c r="AM43">
        <v>2.2987227467499982E-3</v>
      </c>
      <c r="AN43">
        <v>2.3006409177550036E-3</v>
      </c>
      <c r="AO43">
        <v>2.3026869065645855E-3</v>
      </c>
      <c r="AP43">
        <v>2.3046841915815991E-3</v>
      </c>
      <c r="AQ43">
        <v>2.3063994085499862E-3</v>
      </c>
      <c r="AR43" t="s">
        <v>46</v>
      </c>
    </row>
    <row r="44" spans="1:44" x14ac:dyDescent="0.25">
      <c r="A44" t="s">
        <v>126</v>
      </c>
      <c r="B44" t="s">
        <v>0</v>
      </c>
      <c r="C44" t="s">
        <v>1</v>
      </c>
      <c r="D44">
        <v>-0.23955771651335095</v>
      </c>
      <c r="E44">
        <v>-4.7381323326367575E-4</v>
      </c>
      <c r="F44">
        <v>-4.6114174099998184E-5</v>
      </c>
      <c r="G44">
        <v>-9.3195113247770273E-4</v>
      </c>
      <c r="H44">
        <v>6.6202240948800423E-4</v>
      </c>
      <c r="I44">
        <v>4.7883703101620628E-4</v>
      </c>
      <c r="J44">
        <v>-1.4061459798839909E-4</v>
      </c>
      <c r="K44">
        <v>-1.2989096182744048E-3</v>
      </c>
      <c r="L44">
        <v>-5.1203180193983983E-3</v>
      </c>
      <c r="M44">
        <v>5.8956650447839973E-3</v>
      </c>
      <c r="N44">
        <v>1.9529117250350059E-3</v>
      </c>
      <c r="O44">
        <v>4.7967419980459586E-4</v>
      </c>
      <c r="P44">
        <v>1.1941044748447968E-3</v>
      </c>
      <c r="Q44">
        <v>1.2917952533450031E-3</v>
      </c>
      <c r="R44">
        <v>7.7000320174860221E-4</v>
      </c>
      <c r="S44">
        <v>5.1957200766020173E-6</v>
      </c>
      <c r="T44">
        <v>1.1299769240050161E-4</v>
      </c>
      <c r="U44">
        <v>-1.027062163000414E-5</v>
      </c>
      <c r="V44">
        <v>1.584599727418895E-3</v>
      </c>
      <c r="W44">
        <v>5.2654767290599702E-4</v>
      </c>
      <c r="X44">
        <v>6.7688917155400707E-4</v>
      </c>
      <c r="Y44">
        <v>1.2746696662304102E-3</v>
      </c>
      <c r="Z44">
        <v>1.2506964355421951E-3</v>
      </c>
      <c r="AA44">
        <v>1.2025833326791968E-3</v>
      </c>
      <c r="AB44">
        <v>9.7369852966859571E-4</v>
      </c>
      <c r="AC44">
        <v>9.9977140990739621E-4</v>
      </c>
      <c r="AD44">
        <v>1.0203398836384076E-3</v>
      </c>
      <c r="AE44">
        <v>1.0242745511975099E-3</v>
      </c>
      <c r="AF44">
        <v>1.0268330857844954E-3</v>
      </c>
      <c r="AG44">
        <v>1.0282587814719885E-3</v>
      </c>
      <c r="AH44">
        <v>1.029907497536009E-3</v>
      </c>
      <c r="AI44">
        <v>1.0327838463368016E-3</v>
      </c>
      <c r="AJ44">
        <v>1.0371671290459877E-3</v>
      </c>
      <c r="AK44">
        <v>1.0407891925361956E-3</v>
      </c>
      <c r="AL44">
        <v>1.0426843062635999E-3</v>
      </c>
      <c r="AM44">
        <v>1.0440674616479934E-3</v>
      </c>
      <c r="AN44">
        <v>1.0455086339946074E-3</v>
      </c>
      <c r="AO44">
        <v>1.0469478208118971E-3</v>
      </c>
      <c r="AP44">
        <v>1.0485688421960071E-3</v>
      </c>
      <c r="AQ44">
        <v>1.0501726446109916E-3</v>
      </c>
      <c r="AR44" t="s">
        <v>46</v>
      </c>
    </row>
    <row r="45" spans="1:44" x14ac:dyDescent="0.25">
      <c r="A45" t="s">
        <v>127</v>
      </c>
      <c r="B45" t="s">
        <v>0</v>
      </c>
      <c r="C45" t="s">
        <v>1</v>
      </c>
      <c r="D45">
        <v>-0.24171705119069789</v>
      </c>
      <c r="E45">
        <v>-9.2002313543490533E-4</v>
      </c>
      <c r="F45">
        <v>-2.9849984964639559E-4</v>
      </c>
      <c r="G45">
        <v>9.2482936771799695E-4</v>
      </c>
      <c r="H45">
        <v>1.6146660480695976E-3</v>
      </c>
      <c r="I45">
        <v>-2.5314793581206196E-5</v>
      </c>
      <c r="J45">
        <v>-3.7974723688721096E-4</v>
      </c>
      <c r="K45">
        <v>-1.1303516620416038E-3</v>
      </c>
      <c r="L45">
        <v>-3.1911564960966018E-3</v>
      </c>
      <c r="M45">
        <v>3.2019512697216979E-3</v>
      </c>
      <c r="N45">
        <v>1.3149580421792026E-3</v>
      </c>
      <c r="O45">
        <v>3.6469907000559465E-4</v>
      </c>
      <c r="P45">
        <v>1.0435208654016037E-3</v>
      </c>
      <c r="Q45">
        <v>7.3416659617360491E-4</v>
      </c>
      <c r="R45">
        <v>3.6256777701539067E-4</v>
      </c>
      <c r="S45">
        <v>-2.8116729553059883E-4</v>
      </c>
      <c r="T45">
        <v>-1.69339347410008E-4</v>
      </c>
      <c r="U45">
        <v>-1.7325514870399072E-4</v>
      </c>
      <c r="V45">
        <v>1.0263895833489134E-3</v>
      </c>
      <c r="W45">
        <v>5.9502536059796718E-5</v>
      </c>
      <c r="X45">
        <v>3.5606699478160642E-4</v>
      </c>
      <c r="Y45">
        <v>7.6172207189480201E-4</v>
      </c>
      <c r="Z45">
        <v>6.2138255359001082E-4</v>
      </c>
      <c r="AA45">
        <v>4.9997098144100027E-4</v>
      </c>
      <c r="AB45">
        <v>1.5412975397259554E-4</v>
      </c>
      <c r="AC45">
        <v>1.9667781062719658E-4</v>
      </c>
      <c r="AD45">
        <v>2.1393331882549327E-4</v>
      </c>
      <c r="AE45">
        <v>2.2018045026860056E-4</v>
      </c>
      <c r="AF45">
        <v>2.213437684730063E-4</v>
      </c>
      <c r="AG45">
        <v>2.2255953784000582E-4</v>
      </c>
      <c r="AH45">
        <v>2.2223959143979899E-4</v>
      </c>
      <c r="AI45">
        <v>2.2250714831278939E-4</v>
      </c>
      <c r="AJ45">
        <v>2.2243324466120207E-4</v>
      </c>
      <c r="AK45">
        <v>2.2360637637498793E-4</v>
      </c>
      <c r="AL45">
        <v>2.2548071990180496E-4</v>
      </c>
      <c r="AM45">
        <v>2.2627896451729579E-4</v>
      </c>
      <c r="AN45">
        <v>2.2673545638121628E-4</v>
      </c>
      <c r="AO45">
        <v>2.2716171832901089E-4</v>
      </c>
      <c r="AP45">
        <v>2.2747675158420189E-4</v>
      </c>
      <c r="AQ45">
        <v>2.277958240019945E-4</v>
      </c>
      <c r="AR45" t="s">
        <v>46</v>
      </c>
    </row>
    <row r="46" spans="1:44" x14ac:dyDescent="0.25">
      <c r="A46" t="s">
        <v>128</v>
      </c>
      <c r="B46" t="s">
        <v>0</v>
      </c>
      <c r="C46" t="s">
        <v>1</v>
      </c>
      <c r="D46">
        <v>-0.2404717112183056</v>
      </c>
      <c r="E46">
        <v>-3.1748752671201252E-4</v>
      </c>
      <c r="F46">
        <v>-2.7254100609910153E-4</v>
      </c>
      <c r="G46">
        <v>1.4745198545999816E-4</v>
      </c>
      <c r="H46">
        <v>-2.231010368719949E-4</v>
      </c>
      <c r="I46">
        <v>-3.1188134247699117E-4</v>
      </c>
      <c r="J46">
        <v>-3.87346736609194E-4</v>
      </c>
      <c r="K46">
        <v>-9.8963456227500052E-4</v>
      </c>
      <c r="L46">
        <v>-2.5736791644577969E-3</v>
      </c>
      <c r="M46">
        <v>1.9610418549280001E-3</v>
      </c>
      <c r="N46">
        <v>5.2400474239000516E-4</v>
      </c>
      <c r="O46">
        <v>1.1696686327799383E-4</v>
      </c>
      <c r="P46">
        <v>8.6056613644919927E-4</v>
      </c>
      <c r="Q46">
        <v>7.1560753716319592E-4</v>
      </c>
      <c r="R46">
        <v>2.2310086259259843E-4</v>
      </c>
      <c r="S46">
        <v>-2.1967313371550751E-4</v>
      </c>
      <c r="T46">
        <v>-2.8119751304819113E-4</v>
      </c>
      <c r="U46">
        <v>-2.5121836375800038E-4</v>
      </c>
      <c r="V46">
        <v>9.3680967838719736E-4</v>
      </c>
      <c r="W46">
        <v>2.320650291578949E-4</v>
      </c>
      <c r="X46">
        <v>4.7296667053480651E-4</v>
      </c>
      <c r="Y46">
        <v>6.0964635400851536E-4</v>
      </c>
      <c r="Z46">
        <v>4.1790153118789058E-4</v>
      </c>
      <c r="AA46">
        <v>3.1642710030409943E-4</v>
      </c>
      <c r="AB46">
        <v>-1.8506478159390632E-4</v>
      </c>
      <c r="AC46">
        <v>-1.1401354156480997E-4</v>
      </c>
      <c r="AD46">
        <v>-9.0108556771516246E-5</v>
      </c>
      <c r="AE46">
        <v>-8.8567337741991825E-5</v>
      </c>
      <c r="AF46">
        <v>-8.729574277418356E-5</v>
      </c>
      <c r="AG46">
        <v>-8.4978510063317414E-5</v>
      </c>
      <c r="AH46">
        <v>-8.3094089844186481E-5</v>
      </c>
      <c r="AI46">
        <v>-8.3499633312007771E-5</v>
      </c>
      <c r="AJ46">
        <v>-8.3213835676797243E-5</v>
      </c>
      <c r="AK46">
        <v>-8.2755301250007907E-5</v>
      </c>
      <c r="AL46">
        <v>-8.025464946861266E-5</v>
      </c>
      <c r="AM46">
        <v>-7.7051457974409987E-5</v>
      </c>
      <c r="AN46">
        <v>-7.5625453624585115E-5</v>
      </c>
      <c r="AO46">
        <v>-7.4852212792499151E-5</v>
      </c>
      <c r="AP46">
        <v>-7.4084800330782852E-5</v>
      </c>
      <c r="AQ46">
        <v>-7.3385494729606704E-5</v>
      </c>
      <c r="AR46" t="s">
        <v>46</v>
      </c>
    </row>
    <row r="47" spans="1:44" x14ac:dyDescent="0.25">
      <c r="A47" t="s">
        <v>129</v>
      </c>
      <c r="B47" t="s">
        <v>0</v>
      </c>
      <c r="C47" t="s">
        <v>1</v>
      </c>
      <c r="D47">
        <v>-0.2418167096344776</v>
      </c>
      <c r="E47">
        <v>-2.7105946996000552E-4</v>
      </c>
      <c r="F47">
        <v>8.5176325890397309E-5</v>
      </c>
      <c r="G47">
        <v>5.6268253698199544E-5</v>
      </c>
      <c r="H47">
        <v>7.6597588358959939E-4</v>
      </c>
      <c r="I47">
        <v>6.1089065306996204E-5</v>
      </c>
      <c r="J47">
        <v>9.3858447730396644E-5</v>
      </c>
      <c r="K47">
        <v>-3.6364217778560304E-4</v>
      </c>
      <c r="L47">
        <v>-1.6614305478233962E-3</v>
      </c>
      <c r="M47">
        <v>2.1283775573920014E-3</v>
      </c>
      <c r="N47">
        <v>8.2470941144820176E-4</v>
      </c>
      <c r="O47">
        <v>3.4281784868579745E-4</v>
      </c>
      <c r="P47">
        <v>8.6503361257940503E-4</v>
      </c>
      <c r="Q47">
        <v>8.7776592193200553E-4</v>
      </c>
      <c r="R47">
        <v>3.5959619518130537E-4</v>
      </c>
      <c r="S47">
        <v>1.0995873892249985E-4</v>
      </c>
      <c r="T47">
        <v>1.7805622558000195E-4</v>
      </c>
      <c r="U47">
        <v>1.7704114179519642E-4</v>
      </c>
      <c r="V47">
        <v>1.1195702074218092E-3</v>
      </c>
      <c r="W47">
        <v>3.3303992421419848E-4</v>
      </c>
      <c r="X47">
        <v>6.9051220367070953E-4</v>
      </c>
      <c r="Y47">
        <v>8.5555529244001061E-4</v>
      </c>
      <c r="Z47">
        <v>3.1819390806560321E-4</v>
      </c>
      <c r="AA47">
        <v>3.8618936232749645E-4</v>
      </c>
      <c r="AB47">
        <v>2.5539270849000983E-5</v>
      </c>
      <c r="AC47">
        <v>8.5986125273398994E-5</v>
      </c>
      <c r="AD47">
        <v>7.3867423186491088E-5</v>
      </c>
      <c r="AE47">
        <v>9.2891102116299251E-5</v>
      </c>
      <c r="AF47">
        <v>9.1137297178911503E-5</v>
      </c>
      <c r="AG47">
        <v>8.9668523463495853E-5</v>
      </c>
      <c r="AH47">
        <v>8.8931321161098142E-5</v>
      </c>
      <c r="AI47">
        <v>8.9455977294997102E-5</v>
      </c>
      <c r="AJ47">
        <v>8.7585357929603758E-5</v>
      </c>
      <c r="AK47">
        <v>8.6951442320001848E-5</v>
      </c>
      <c r="AL47">
        <v>8.5684057078996845E-5</v>
      </c>
      <c r="AM47">
        <v>8.6473093638003706E-5</v>
      </c>
      <c r="AN47">
        <v>8.8910615242090985E-5</v>
      </c>
      <c r="AO47">
        <v>8.9916581175006338E-5</v>
      </c>
      <c r="AP47">
        <v>9.0151372805408192E-5</v>
      </c>
      <c r="AQ47">
        <v>9.0466879112488519E-5</v>
      </c>
      <c r="AR47" t="s">
        <v>46</v>
      </c>
    </row>
    <row r="48" spans="1:44" x14ac:dyDescent="0.25">
      <c r="A48" t="s">
        <v>130</v>
      </c>
      <c r="B48" t="s">
        <v>0</v>
      </c>
      <c r="C48" t="s">
        <v>1</v>
      </c>
      <c r="D48">
        <v>-0.24303990318711091</v>
      </c>
      <c r="E48">
        <v>6.1603323151629419E-4</v>
      </c>
      <c r="F48">
        <v>6.9197598811099326E-4</v>
      </c>
      <c r="G48">
        <v>1.9687506698295026E-3</v>
      </c>
      <c r="H48">
        <v>2.049070853844398E-3</v>
      </c>
      <c r="I48">
        <v>6.2917658386180131E-4</v>
      </c>
      <c r="J48">
        <v>7.5211640336159818E-4</v>
      </c>
      <c r="K48">
        <v>2.3803239330629639E-4</v>
      </c>
      <c r="L48">
        <v>-8.1898990732690025E-4</v>
      </c>
      <c r="M48">
        <v>2.5925018210452982E-3</v>
      </c>
      <c r="N48">
        <v>1.164840778587202E-3</v>
      </c>
      <c r="O48">
        <v>7.8873632601140359E-4</v>
      </c>
      <c r="P48">
        <v>1.1873962690550979E-3</v>
      </c>
      <c r="Q48">
        <v>1.1040651173704966E-3</v>
      </c>
      <c r="R48">
        <v>8.7687712719100586E-4</v>
      </c>
      <c r="S48">
        <v>5.7993288829899514E-4</v>
      </c>
      <c r="T48">
        <v>5.7008198022859974E-4</v>
      </c>
      <c r="U48">
        <v>4.499242409151949E-4</v>
      </c>
      <c r="V48">
        <v>1.1502993359592054E-3</v>
      </c>
      <c r="W48">
        <v>4.4145581849499432E-4</v>
      </c>
      <c r="X48">
        <v>7.1851005351440678E-4</v>
      </c>
      <c r="Y48">
        <v>6.6457875021579821E-4</v>
      </c>
      <c r="Z48">
        <v>4.1634361595009606E-5</v>
      </c>
      <c r="AA48">
        <v>2.6825410237400066E-4</v>
      </c>
      <c r="AB48">
        <v>1.8195919086540918E-4</v>
      </c>
      <c r="AC48">
        <v>3.4482714250560348E-4</v>
      </c>
      <c r="AD48">
        <v>3.0429321783469881E-4</v>
      </c>
      <c r="AE48">
        <v>2.8358248755030319E-4</v>
      </c>
      <c r="AF48">
        <v>2.9657271165400151E-4</v>
      </c>
      <c r="AG48">
        <v>2.9056715037780595E-4</v>
      </c>
      <c r="AH48">
        <v>2.8431315555740161E-4</v>
      </c>
      <c r="AI48">
        <v>2.7885623507440532E-4</v>
      </c>
      <c r="AJ48">
        <v>2.7743548411058444E-4</v>
      </c>
      <c r="AK48">
        <v>2.7299537720641004E-4</v>
      </c>
      <c r="AL48">
        <v>2.7051670667899846E-4</v>
      </c>
      <c r="AM48">
        <v>2.6651814545439884E-4</v>
      </c>
      <c r="AN48">
        <v>2.6495374576401137E-4</v>
      </c>
      <c r="AO48">
        <v>2.6649472060499141E-4</v>
      </c>
      <c r="AP48">
        <v>2.6680282921569959E-4</v>
      </c>
      <c r="AQ48">
        <v>2.6629301919251641E-4</v>
      </c>
      <c r="AR48" t="s">
        <v>46</v>
      </c>
    </row>
    <row r="49" spans="1:44" x14ac:dyDescent="0.25">
      <c r="A49" t="s">
        <v>131</v>
      </c>
      <c r="B49" t="s">
        <v>0</v>
      </c>
      <c r="C49" t="s">
        <v>1</v>
      </c>
      <c r="D49">
        <v>-0.24615429498986557</v>
      </c>
      <c r="E49">
        <v>1.2131806298144032E-3</v>
      </c>
      <c r="F49">
        <v>1.451078450954997E-3</v>
      </c>
      <c r="G49">
        <v>1.3756792955564034E-3</v>
      </c>
      <c r="H49">
        <v>1.2889979233767987E-3</v>
      </c>
      <c r="I49">
        <v>1.1579302619304996E-3</v>
      </c>
      <c r="J49">
        <v>1.5404703544327977E-3</v>
      </c>
      <c r="K49">
        <v>1.0466331044178025E-3</v>
      </c>
      <c r="L49">
        <v>4.7681635647760581E-4</v>
      </c>
      <c r="M49">
        <v>3.2149635048208045E-3</v>
      </c>
      <c r="N49">
        <v>1.8734254509041037E-3</v>
      </c>
      <c r="O49">
        <v>1.4860695750132033E-3</v>
      </c>
      <c r="P49">
        <v>1.7810402859591984E-3</v>
      </c>
      <c r="Q49">
        <v>1.7293665173523931E-3</v>
      </c>
      <c r="R49">
        <v>1.6497359963748015E-3</v>
      </c>
      <c r="S49">
        <v>1.5971438170468977E-3</v>
      </c>
      <c r="T49">
        <v>1.0525947445014991E-3</v>
      </c>
      <c r="U49">
        <v>1.0741880603849993E-3</v>
      </c>
      <c r="V49">
        <v>1.7320149497404014E-3</v>
      </c>
      <c r="W49">
        <v>6.5705572861900208E-4</v>
      </c>
      <c r="X49">
        <v>1.0978253125433005E-3</v>
      </c>
      <c r="Y49">
        <v>7.168795514283996E-4</v>
      </c>
      <c r="Z49">
        <v>8.3042224812798771E-5</v>
      </c>
      <c r="AA49">
        <v>2.8520172987631098E-4</v>
      </c>
      <c r="AB49">
        <v>7.537502457838352E-5</v>
      </c>
      <c r="AC49">
        <v>3.9070583626558963E-4</v>
      </c>
      <c r="AD49">
        <v>3.9172014329580396E-4</v>
      </c>
      <c r="AE49">
        <v>3.6439016753558873E-4</v>
      </c>
      <c r="AF49">
        <v>3.2383789460399548E-4</v>
      </c>
      <c r="AG49">
        <v>3.269310298708028E-4</v>
      </c>
      <c r="AH49">
        <v>3.1246304906000499E-4</v>
      </c>
      <c r="AI49">
        <v>2.9556172696949823E-4</v>
      </c>
      <c r="AJ49">
        <v>2.7756124201509802E-4</v>
      </c>
      <c r="AK49">
        <v>2.7090825485999448E-4</v>
      </c>
      <c r="AL49">
        <v>2.61861245354017E-4</v>
      </c>
      <c r="AM49">
        <v>2.557922244354055E-4</v>
      </c>
      <c r="AN49">
        <v>2.449746495743893E-4</v>
      </c>
      <c r="AO49">
        <v>2.350227720288034E-4</v>
      </c>
      <c r="AP49">
        <v>2.3110050149779959E-4</v>
      </c>
      <c r="AQ49">
        <v>2.2867137250739966E-4</v>
      </c>
      <c r="AR49" t="s">
        <v>46</v>
      </c>
    </row>
    <row r="50" spans="1:44" x14ac:dyDescent="0.25">
      <c r="A50" t="s">
        <v>132</v>
      </c>
      <c r="B50" t="s">
        <v>0</v>
      </c>
      <c r="C50" t="s">
        <v>1</v>
      </c>
      <c r="D50">
        <v>-0.24938216215548228</v>
      </c>
      <c r="E50">
        <v>1.9484943573936098E-3</v>
      </c>
      <c r="F50">
        <v>2.2163840978817982E-3</v>
      </c>
      <c r="G50">
        <v>2.3438516712564021E-3</v>
      </c>
      <c r="H50">
        <v>2.9114703735634989E-3</v>
      </c>
      <c r="I50">
        <v>1.9873516987199968E-3</v>
      </c>
      <c r="J50">
        <v>2.3476281873991978E-3</v>
      </c>
      <c r="K50">
        <v>2.0001122299399994E-3</v>
      </c>
      <c r="L50">
        <v>1.321373991235001E-3</v>
      </c>
      <c r="M50">
        <v>3.9713702012700997E-3</v>
      </c>
      <c r="N50">
        <v>2.4995198784103952E-3</v>
      </c>
      <c r="O50">
        <v>2.4931882904609994E-3</v>
      </c>
      <c r="P50">
        <v>2.6248803730753965E-3</v>
      </c>
      <c r="Q50">
        <v>2.6362632489815054E-3</v>
      </c>
      <c r="R50">
        <v>2.4306938096281989E-3</v>
      </c>
      <c r="S50">
        <v>2.7146908242375971E-3</v>
      </c>
      <c r="T50">
        <v>2.6669008326992046E-3</v>
      </c>
      <c r="U50">
        <v>1.860603308688407E-3</v>
      </c>
      <c r="V50">
        <v>2.2545468883409976E-3</v>
      </c>
      <c r="W50">
        <v>1.600386853702198E-3</v>
      </c>
      <c r="X50">
        <v>1.7665596560236009E-3</v>
      </c>
      <c r="Y50">
        <v>1.4331388823147946E-3</v>
      </c>
      <c r="Z50">
        <v>6.6956824374999821E-4</v>
      </c>
      <c r="AA50">
        <v>6.6977190055300326E-4</v>
      </c>
      <c r="AB50">
        <v>3.9344063932919213E-4</v>
      </c>
      <c r="AC50">
        <v>6.004774236851966E-4</v>
      </c>
      <c r="AD50">
        <v>6.9436388444719596E-4</v>
      </c>
      <c r="AE50">
        <v>7.8167313407049785E-4</v>
      </c>
      <c r="AF50">
        <v>7.123448005670989E-4</v>
      </c>
      <c r="AG50">
        <v>6.0469049922238713E-4</v>
      </c>
      <c r="AH50">
        <v>5.7099204207308393E-4</v>
      </c>
      <c r="AI50">
        <v>5.2706241674959839E-4</v>
      </c>
      <c r="AJ50">
        <v>4.7538778682880076E-4</v>
      </c>
      <c r="AK50">
        <v>4.1589501683930372E-4</v>
      </c>
      <c r="AL50">
        <v>3.946840784756038E-4</v>
      </c>
      <c r="AM50">
        <v>3.7176968189679346E-4</v>
      </c>
      <c r="AN50">
        <v>3.5407326686858961E-4</v>
      </c>
      <c r="AO50">
        <v>3.1818664818200268E-4</v>
      </c>
      <c r="AP50">
        <v>2.7614677466000423E-4</v>
      </c>
      <c r="AQ50">
        <v>2.5114868892929174E-4</v>
      </c>
      <c r="AR50" t="s">
        <v>46</v>
      </c>
    </row>
    <row r="51" spans="1:44" x14ac:dyDescent="0.25">
      <c r="A51" t="s">
        <v>133</v>
      </c>
      <c r="B51" t="s">
        <v>0</v>
      </c>
      <c r="C51" t="s">
        <v>1</v>
      </c>
      <c r="D51">
        <v>-0.25346200240862604</v>
      </c>
      <c r="E51">
        <v>1.9873101043010322E-3</v>
      </c>
      <c r="F51">
        <v>2.0310081104819994E-3</v>
      </c>
      <c r="G51">
        <v>2.0724036224829996E-3</v>
      </c>
      <c r="H51">
        <v>2.5501637296499995E-3</v>
      </c>
      <c r="I51">
        <v>2.103627737195201E-3</v>
      </c>
      <c r="J51">
        <v>2.4491776984129996E-3</v>
      </c>
      <c r="K51">
        <v>2.2209007180655008E-3</v>
      </c>
      <c r="L51">
        <v>1.7757841777599984E-3</v>
      </c>
      <c r="M51">
        <v>3.7527025779727982E-3</v>
      </c>
      <c r="N51">
        <v>2.8783310271440002E-3</v>
      </c>
      <c r="O51">
        <v>2.9226044593078024E-3</v>
      </c>
      <c r="P51">
        <v>3.1312279718287983E-3</v>
      </c>
      <c r="Q51">
        <v>3.2247101661882042E-3</v>
      </c>
      <c r="R51">
        <v>2.969996934730601E-3</v>
      </c>
      <c r="S51">
        <v>3.2573562984340027E-3</v>
      </c>
      <c r="T51">
        <v>3.5687926562540037E-3</v>
      </c>
      <c r="U51">
        <v>3.6588819186769983E-3</v>
      </c>
      <c r="V51">
        <v>3.1410573620743974E-3</v>
      </c>
      <c r="W51">
        <v>2.2364667778101005E-3</v>
      </c>
      <c r="X51">
        <v>2.7518071298090058E-3</v>
      </c>
      <c r="Y51">
        <v>2.2856619356800001E-3</v>
      </c>
      <c r="Z51">
        <v>1.5533547036615039E-3</v>
      </c>
      <c r="AA51">
        <v>1.2843414310218931E-3</v>
      </c>
      <c r="AB51">
        <v>1.0812710015472016E-3</v>
      </c>
      <c r="AC51">
        <v>1.4673511194640138E-3</v>
      </c>
      <c r="AD51">
        <v>1.2299764580000067E-3</v>
      </c>
      <c r="AE51">
        <v>1.4764291408932012E-3</v>
      </c>
      <c r="AF51">
        <v>1.5742797546769022E-3</v>
      </c>
      <c r="AG51">
        <v>1.4230856149399923E-3</v>
      </c>
      <c r="AH51">
        <v>1.1984427942648146E-3</v>
      </c>
      <c r="AI51">
        <v>1.1010298980664995E-3</v>
      </c>
      <c r="AJ51">
        <v>9.9955860186398682E-4</v>
      </c>
      <c r="AK51">
        <v>8.8652509820649761E-4</v>
      </c>
      <c r="AL51">
        <v>7.5895268250079917E-4</v>
      </c>
      <c r="AM51">
        <v>7.0900935641279861E-4</v>
      </c>
      <c r="AN51">
        <v>6.5689899340939939E-4</v>
      </c>
      <c r="AO51">
        <v>6.1324600063460133E-4</v>
      </c>
      <c r="AP51">
        <v>5.3493170145499369E-4</v>
      </c>
      <c r="AQ51">
        <v>4.4574301178640363E-4</v>
      </c>
      <c r="AR51" t="s">
        <v>46</v>
      </c>
    </row>
    <row r="52" spans="1:44" x14ac:dyDescent="0.25">
      <c r="A52" t="s">
        <v>134</v>
      </c>
      <c r="B52" t="s">
        <v>0</v>
      </c>
      <c r="C52" t="s">
        <v>1</v>
      </c>
      <c r="D52">
        <v>-0.25602446464243528</v>
      </c>
      <c r="E52">
        <v>1.4479723577688897E-3</v>
      </c>
      <c r="F52">
        <v>1.6154014900512E-3</v>
      </c>
      <c r="G52">
        <v>1.5502751332095999E-3</v>
      </c>
      <c r="H52">
        <v>1.8457129981248E-3</v>
      </c>
      <c r="I52">
        <v>1.4524542474779996E-3</v>
      </c>
      <c r="J52">
        <v>1.8508102900724006E-3</v>
      </c>
      <c r="K52">
        <v>1.6534827385442001E-3</v>
      </c>
      <c r="L52">
        <v>1.3550331860860002E-3</v>
      </c>
      <c r="M52">
        <v>2.6891568548668005E-3</v>
      </c>
      <c r="N52">
        <v>2.0557280629822997E-3</v>
      </c>
      <c r="O52">
        <v>2.5553985104939999E-3</v>
      </c>
      <c r="P52">
        <v>2.8602313952443992E-3</v>
      </c>
      <c r="Q52">
        <v>3.0372279935550004E-3</v>
      </c>
      <c r="R52">
        <v>2.9880420809805987E-3</v>
      </c>
      <c r="S52">
        <v>3.2109952729500024E-3</v>
      </c>
      <c r="T52">
        <v>3.6699128016687999E-3</v>
      </c>
      <c r="U52">
        <v>4.1077039747120982E-3</v>
      </c>
      <c r="V52">
        <v>4.5709599111180017E-3</v>
      </c>
      <c r="W52">
        <v>2.8523345146384011E-3</v>
      </c>
      <c r="X52">
        <v>3.1802365555124012E-3</v>
      </c>
      <c r="Y52">
        <v>3.4367687646488006E-3</v>
      </c>
      <c r="Z52">
        <v>2.662427834030796E-3</v>
      </c>
      <c r="AA52">
        <v>2.6220846256673948E-3</v>
      </c>
      <c r="AB52">
        <v>2.2100743938279956E-3</v>
      </c>
      <c r="AC52">
        <v>2.5762213372359979E-3</v>
      </c>
      <c r="AD52">
        <v>2.439203932628994E-3</v>
      </c>
      <c r="AE52">
        <v>2.3913310687920918E-3</v>
      </c>
      <c r="AF52">
        <v>2.7670806199734995E-3</v>
      </c>
      <c r="AG52">
        <v>2.9506790250063957E-3</v>
      </c>
      <c r="AH52">
        <v>2.7706443722220041E-3</v>
      </c>
      <c r="AI52">
        <v>2.4345063211209991E-3</v>
      </c>
      <c r="AJ52">
        <v>2.2986924765909019E-3</v>
      </c>
      <c r="AK52">
        <v>2.1668929604202105E-3</v>
      </c>
      <c r="AL52">
        <v>1.9968942934715985E-3</v>
      </c>
      <c r="AM52">
        <v>1.77462366042439E-3</v>
      </c>
      <c r="AN52">
        <v>1.7163760789999979E-3</v>
      </c>
      <c r="AO52">
        <v>1.6534019700223997E-3</v>
      </c>
      <c r="AP52">
        <v>1.6020627746705148E-3</v>
      </c>
      <c r="AQ52">
        <v>1.4557186631894061E-3</v>
      </c>
      <c r="AR52" t="s">
        <v>46</v>
      </c>
    </row>
    <row r="53" spans="1:44" x14ac:dyDescent="0.25">
      <c r="A53" t="s">
        <v>135</v>
      </c>
      <c r="B53" t="s">
        <v>0</v>
      </c>
      <c r="C53" t="s">
        <v>1</v>
      </c>
      <c r="D53">
        <v>-0.25629905168469547</v>
      </c>
      <c r="E53">
        <v>5.1447639054180705E-4</v>
      </c>
      <c r="F53">
        <v>6.1199616672640011E-4</v>
      </c>
      <c r="G53">
        <v>5.5987537550120006E-4</v>
      </c>
      <c r="H53">
        <v>7.245573299846E-4</v>
      </c>
      <c r="I53">
        <v>6.36169901919E-4</v>
      </c>
      <c r="J53">
        <v>8.0833403147479994E-4</v>
      </c>
      <c r="K53">
        <v>8.2159342921369976E-4</v>
      </c>
      <c r="L53">
        <v>6.3995774964920016E-4</v>
      </c>
      <c r="M53">
        <v>1.2749142465254997E-3</v>
      </c>
      <c r="N53">
        <v>1.0452542704108001E-3</v>
      </c>
      <c r="O53">
        <v>1.2380214158826004E-3</v>
      </c>
      <c r="P53">
        <v>1.6842311749741005E-3</v>
      </c>
      <c r="Q53">
        <v>1.8308440355599999E-3</v>
      </c>
      <c r="R53">
        <v>2.0317786354260006E-3</v>
      </c>
      <c r="S53">
        <v>2.143075112638E-3</v>
      </c>
      <c r="T53">
        <v>2.5467897550588989E-3</v>
      </c>
      <c r="U53">
        <v>3.0602815543517995E-3</v>
      </c>
      <c r="V53">
        <v>3.8284537503878004E-3</v>
      </c>
      <c r="W53">
        <v>3.4728405741680018E-3</v>
      </c>
      <c r="X53">
        <v>2.9551333318316988E-3</v>
      </c>
      <c r="Y53">
        <v>3.2146392399087986E-3</v>
      </c>
      <c r="Z53">
        <v>3.5694258533260003E-3</v>
      </c>
      <c r="AA53">
        <v>3.7586697161069984E-3</v>
      </c>
      <c r="AB53">
        <v>3.9292977431056022E-3</v>
      </c>
      <c r="AC53">
        <v>4.0467613713275957E-3</v>
      </c>
      <c r="AD53">
        <v>4.3563574478659986E-3</v>
      </c>
      <c r="AE53">
        <v>5.0963509854426983E-3</v>
      </c>
      <c r="AF53">
        <v>5.033773576888694E-3</v>
      </c>
      <c r="AG53">
        <v>5.5766945875840015E-3</v>
      </c>
      <c r="AH53">
        <v>6.0382732716005019E-3</v>
      </c>
      <c r="AI53">
        <v>6.1371343838939945E-3</v>
      </c>
      <c r="AJ53">
        <v>5.8382673064319981E-3</v>
      </c>
      <c r="AK53">
        <v>5.9055779077031986E-3</v>
      </c>
      <c r="AL53">
        <v>5.9783902631272067E-3</v>
      </c>
      <c r="AM53">
        <v>5.9052615045446987E-3</v>
      </c>
      <c r="AN53">
        <v>5.6134948060800041E-3</v>
      </c>
      <c r="AO53">
        <v>5.7819003719405048E-3</v>
      </c>
      <c r="AP53">
        <v>5.9283372535052009E-3</v>
      </c>
      <c r="AQ53">
        <v>6.0973551490095942E-3</v>
      </c>
      <c r="AR53" t="s">
        <v>46</v>
      </c>
    </row>
    <row r="54" spans="1:44" x14ac:dyDescent="0.25">
      <c r="A54" t="s">
        <v>136</v>
      </c>
      <c r="B54" t="s">
        <v>0</v>
      </c>
      <c r="C54" t="s">
        <v>1</v>
      </c>
      <c r="D54">
        <v>-0.25421286605829202</v>
      </c>
      <c r="E54">
        <v>1.1274732317800851E-4</v>
      </c>
      <c r="F54">
        <v>1.4509386035000001E-4</v>
      </c>
      <c r="G54">
        <v>1.257852204856E-4</v>
      </c>
      <c r="H54">
        <v>1.6163718857500003E-4</v>
      </c>
      <c r="I54">
        <v>1.5599629528240003E-4</v>
      </c>
      <c r="J54">
        <v>2.0190087327000002E-4</v>
      </c>
      <c r="K54">
        <v>2.0194645540440006E-4</v>
      </c>
      <c r="L54">
        <v>1.721796655823E-4</v>
      </c>
      <c r="M54">
        <v>2.9739489069580003E-4</v>
      </c>
      <c r="N54">
        <v>2.9556502587210011E-4</v>
      </c>
      <c r="O54">
        <v>3.708601607875E-4</v>
      </c>
      <c r="P54">
        <v>4.6893643715879987E-4</v>
      </c>
      <c r="Q54">
        <v>6.3536438917250002E-4</v>
      </c>
      <c r="R54">
        <v>7.526948844104001E-4</v>
      </c>
      <c r="S54">
        <v>8.7758415291749989E-4</v>
      </c>
      <c r="T54">
        <v>9.9474182451440006E-4</v>
      </c>
      <c r="U54">
        <v>1.3150075942187001E-3</v>
      </c>
      <c r="V54">
        <v>1.8591933681570006E-3</v>
      </c>
      <c r="W54">
        <v>2.0588106047272001E-3</v>
      </c>
      <c r="X54">
        <v>2.2206257411437995E-3</v>
      </c>
      <c r="Y54">
        <v>1.8995067807424E-3</v>
      </c>
      <c r="Z54">
        <v>2.4421201521712989E-3</v>
      </c>
      <c r="AA54">
        <v>3.3017586495887007E-3</v>
      </c>
      <c r="AB54">
        <v>3.8024273315792022E-3</v>
      </c>
      <c r="AC54">
        <v>4.2501115189080008E-3</v>
      </c>
      <c r="AD54">
        <v>4.0003801147556004E-3</v>
      </c>
      <c r="AE54">
        <v>4.8924859989643976E-3</v>
      </c>
      <c r="AF54">
        <v>5.9131584342679028E-3</v>
      </c>
      <c r="AG54">
        <v>5.932779015838505E-3</v>
      </c>
      <c r="AH54">
        <v>6.5140108406005013E-3</v>
      </c>
      <c r="AI54">
        <v>7.1112449970596996E-3</v>
      </c>
      <c r="AJ54">
        <v>7.4389980222697976E-3</v>
      </c>
      <c r="AK54">
        <v>7.2520006272663983E-3</v>
      </c>
      <c r="AL54">
        <v>7.5857787504366014E-3</v>
      </c>
      <c r="AM54">
        <v>7.8770577995337984E-3</v>
      </c>
      <c r="AN54">
        <v>7.9796992948360009E-3</v>
      </c>
      <c r="AO54">
        <v>7.7957940026726052E-3</v>
      </c>
      <c r="AP54">
        <v>8.2431871765204969E-3</v>
      </c>
      <c r="AQ54">
        <v>8.6541225979791993E-3</v>
      </c>
      <c r="AR54" t="s">
        <v>46</v>
      </c>
    </row>
    <row r="55" spans="1:44" x14ac:dyDescent="0.25">
      <c r="A55" t="s">
        <v>137</v>
      </c>
      <c r="B55" t="s">
        <v>0</v>
      </c>
      <c r="C55" t="s">
        <v>1</v>
      </c>
      <c r="D55">
        <v>-0.2510387100318881</v>
      </c>
      <c r="E55">
        <v>1.4874928357500039E-5</v>
      </c>
      <c r="F55">
        <v>1.7294171187200002E-5</v>
      </c>
      <c r="G55">
        <v>1.5639256744700001E-5</v>
      </c>
      <c r="H55">
        <v>1.9082469386799995E-5</v>
      </c>
      <c r="I55">
        <v>1.8863008405999996E-5</v>
      </c>
      <c r="J55">
        <v>3.3165617049599992E-5</v>
      </c>
      <c r="K55">
        <v>3.145562706049999E-5</v>
      </c>
      <c r="L55">
        <v>2.6454685022000002E-5</v>
      </c>
      <c r="M55">
        <v>4.2392548634500003E-5</v>
      </c>
      <c r="N55">
        <v>5.4112177885499997E-5</v>
      </c>
      <c r="O55">
        <v>7.7994338425499984E-5</v>
      </c>
      <c r="P55">
        <v>8.85923974605E-5</v>
      </c>
      <c r="Q55">
        <v>1.0234865167830002E-4</v>
      </c>
      <c r="R55">
        <v>1.5459406521619998E-4</v>
      </c>
      <c r="S55">
        <v>1.7967140368460002E-4</v>
      </c>
      <c r="T55">
        <v>2.2936319974840001E-4</v>
      </c>
      <c r="U55">
        <v>2.9569438353600004E-4</v>
      </c>
      <c r="V55">
        <v>4.4778814723679997E-4</v>
      </c>
      <c r="W55">
        <v>5.8026465022739974E-4</v>
      </c>
      <c r="X55">
        <v>7.1156673092600013E-4</v>
      </c>
      <c r="Y55">
        <v>6.0187902995779974E-4</v>
      </c>
      <c r="Z55">
        <v>7.7692194764539995E-4</v>
      </c>
      <c r="AA55">
        <v>1.1763208795400001E-3</v>
      </c>
      <c r="AB55">
        <v>1.7398967925348996E-3</v>
      </c>
      <c r="AC55">
        <v>2.0444774244513003E-3</v>
      </c>
      <c r="AD55">
        <v>2.0617728938148003E-3</v>
      </c>
      <c r="AE55">
        <v>2.0681066610131996E-3</v>
      </c>
      <c r="AF55">
        <v>2.5480545690821006E-3</v>
      </c>
      <c r="AG55">
        <v>3.0302978900096007E-3</v>
      </c>
      <c r="AH55">
        <v>3.054603425585898E-3</v>
      </c>
      <c r="AI55">
        <v>3.3763755059877999E-3</v>
      </c>
      <c r="AJ55">
        <v>3.6951755757900014E-3</v>
      </c>
      <c r="AK55">
        <v>3.8746032729438007E-3</v>
      </c>
      <c r="AL55">
        <v>3.7634261944626012E-3</v>
      </c>
      <c r="AM55">
        <v>3.9754574536878008E-3</v>
      </c>
      <c r="AN55">
        <v>4.1217641442220024E-3</v>
      </c>
      <c r="AO55">
        <v>4.1659192981790029E-3</v>
      </c>
      <c r="AP55">
        <v>4.0769669262343995E-3</v>
      </c>
      <c r="AQ55">
        <v>4.3097391663325033E-3</v>
      </c>
      <c r="AR55" t="s">
        <v>46</v>
      </c>
    </row>
    <row r="56" spans="1:44" x14ac:dyDescent="0.25">
      <c r="A56" t="s">
        <v>138</v>
      </c>
      <c r="B56" t="s">
        <v>0</v>
      </c>
      <c r="C56" t="s">
        <v>1</v>
      </c>
      <c r="D56">
        <v>-0.24760054447823793</v>
      </c>
      <c r="E56">
        <v>1.350575022512901E-6</v>
      </c>
      <c r="F56">
        <v>7.4017052246999987E-7</v>
      </c>
      <c r="G56">
        <v>7.2547002499999988E-7</v>
      </c>
      <c r="H56">
        <v>6.6880508410000015E-7</v>
      </c>
      <c r="I56">
        <v>6.4672986550000006E-7</v>
      </c>
      <c r="J56">
        <v>1.5971101085000016E-7</v>
      </c>
      <c r="K56">
        <v>-6.3391444048000007E-7</v>
      </c>
      <c r="L56">
        <v>-1.87373382044E-6</v>
      </c>
      <c r="M56">
        <v>-1.5948439990000021E-7</v>
      </c>
      <c r="N56">
        <v>-2.4261963905200003E-6</v>
      </c>
      <c r="O56">
        <v>-3.2071801195199998E-6</v>
      </c>
      <c r="P56">
        <v>9.5108571973999998E-6</v>
      </c>
      <c r="Q56">
        <v>1.4366854387600002E-5</v>
      </c>
      <c r="R56">
        <v>1.2008806988799999E-5</v>
      </c>
      <c r="S56">
        <v>1.4710336336800002E-5</v>
      </c>
      <c r="T56">
        <v>2.3243943995000002E-5</v>
      </c>
      <c r="U56">
        <v>3.5331180412799999E-5</v>
      </c>
      <c r="V56">
        <v>5.1021940912400001E-5</v>
      </c>
      <c r="W56">
        <v>6.1160754654400023E-5</v>
      </c>
      <c r="X56">
        <v>7.6980152811000004E-5</v>
      </c>
      <c r="Y56">
        <v>7.1817892181599982E-5</v>
      </c>
      <c r="Z56">
        <v>-6.7516780576000208E-6</v>
      </c>
      <c r="AA56">
        <v>1.3236980372510006E-4</v>
      </c>
      <c r="AB56">
        <v>1.376328320993E-4</v>
      </c>
      <c r="AC56">
        <v>3.2020208506479994E-4</v>
      </c>
      <c r="AD56">
        <v>4.9260113009319995E-4</v>
      </c>
      <c r="AE56">
        <v>5.600617757252999E-4</v>
      </c>
      <c r="AF56">
        <v>6.0600551723179988E-4</v>
      </c>
      <c r="AG56">
        <v>7.2716154069850012E-4</v>
      </c>
      <c r="AH56">
        <v>8.6602054273559963E-4</v>
      </c>
      <c r="AI56">
        <v>9.6510295991839999E-4</v>
      </c>
      <c r="AJ56">
        <v>1.0982379460406E-3</v>
      </c>
      <c r="AK56">
        <v>1.27164445818E-3</v>
      </c>
      <c r="AL56">
        <v>1.446452637652E-3</v>
      </c>
      <c r="AM56">
        <v>1.5649437225866991E-3</v>
      </c>
      <c r="AN56">
        <v>1.7354327829459993E-3</v>
      </c>
      <c r="AO56">
        <v>1.9407879731134002E-3</v>
      </c>
      <c r="AP56">
        <v>2.1551501717849992E-3</v>
      </c>
      <c r="AQ56">
        <v>2.3458751439739004E-3</v>
      </c>
      <c r="AR56" t="s">
        <v>46</v>
      </c>
    </row>
    <row r="58" spans="1:44" x14ac:dyDescent="0.25">
      <c r="A58" t="s">
        <v>368</v>
      </c>
    </row>
    <row r="59" spans="1:44" x14ac:dyDescent="0.25">
      <c r="A59" t="s">
        <v>139</v>
      </c>
      <c r="B59" t="s">
        <v>0</v>
      </c>
      <c r="C59" t="s">
        <v>1</v>
      </c>
      <c r="D59">
        <v>-0.55453982485858733</v>
      </c>
      <c r="E59">
        <v>-0.41625125512673961</v>
      </c>
      <c r="F59">
        <v>-0.41464889572373687</v>
      </c>
      <c r="G59">
        <v>-0.40270683728719203</v>
      </c>
      <c r="H59">
        <v>-0.32008103572398328</v>
      </c>
      <c r="I59">
        <v>-0.36614805500728609</v>
      </c>
      <c r="J59">
        <v>-0.37013632856108547</v>
      </c>
      <c r="K59">
        <v>-0.38253572293916904</v>
      </c>
      <c r="L59">
        <v>-0.4349461941025522</v>
      </c>
      <c r="M59">
        <v>-0.37121604174801415</v>
      </c>
      <c r="N59">
        <v>-0.36966045260106772</v>
      </c>
      <c r="O59">
        <v>-0.42020954833404472</v>
      </c>
      <c r="P59">
        <v>-0.46893087848351789</v>
      </c>
      <c r="Q59">
        <v>-0.54880670854132596</v>
      </c>
      <c r="R59">
        <v>-0.58723627118572774</v>
      </c>
      <c r="S59">
        <v>-0.55008098501716085</v>
      </c>
      <c r="T59">
        <v>-0.54869367847559691</v>
      </c>
      <c r="U59">
        <v>-0.5309759938216787</v>
      </c>
      <c r="V59">
        <v>-0.50637703020632152</v>
      </c>
      <c r="W59">
        <v>-0.5077736168982</v>
      </c>
      <c r="X59">
        <v>-0.50856855612553153</v>
      </c>
      <c r="Y59">
        <v>-0.51538308499999996</v>
      </c>
      <c r="Z59">
        <v>-0.52553465064478111</v>
      </c>
      <c r="AA59">
        <v>-0.53714560970598213</v>
      </c>
      <c r="AB59">
        <v>-0.55751714250492601</v>
      </c>
      <c r="AC59">
        <v>-0.54192531779586572</v>
      </c>
      <c r="AD59">
        <v>-0.5199262562785314</v>
      </c>
      <c r="AE59">
        <v>-0.49045577448573119</v>
      </c>
      <c r="AF59">
        <v>-0.47707473831943997</v>
      </c>
      <c r="AG59">
        <v>-0.48914765488922884</v>
      </c>
      <c r="AH59">
        <v>-0.50324991161993526</v>
      </c>
      <c r="AI59">
        <v>-0.50176139736441305</v>
      </c>
      <c r="AJ59">
        <v>-0.49008134236861972</v>
      </c>
      <c r="AK59">
        <v>-0.47341995252478586</v>
      </c>
      <c r="AL59">
        <v>-0.45959353075667897</v>
      </c>
      <c r="AM59">
        <v>-0.45477915788331635</v>
      </c>
      <c r="AN59">
        <v>-0.45770873250148347</v>
      </c>
      <c r="AO59">
        <v>-0.46076871097651589</v>
      </c>
      <c r="AP59">
        <v>-0.45756657184008326</v>
      </c>
      <c r="AQ59">
        <v>-0.44855497797980881</v>
      </c>
      <c r="AR59" t="s">
        <v>46</v>
      </c>
    </row>
    <row r="60" spans="1:44" x14ac:dyDescent="0.25">
      <c r="A60" t="s">
        <v>140</v>
      </c>
      <c r="B60" t="s">
        <v>0</v>
      </c>
      <c r="C60" t="s">
        <v>1</v>
      </c>
      <c r="D60">
        <v>-0.56202561189484335</v>
      </c>
      <c r="E60">
        <v>3.3698478586944303E-3</v>
      </c>
      <c r="F60">
        <v>5.0996983540239904E-3</v>
      </c>
      <c r="G60">
        <v>3.9421228570893085E-3</v>
      </c>
      <c r="H60">
        <v>1.7365766444911973E-2</v>
      </c>
      <c r="I60">
        <v>9.0573093386294989E-3</v>
      </c>
      <c r="J60">
        <v>6.7801857835095847E-3</v>
      </c>
      <c r="K60">
        <v>2.2254906870878E-3</v>
      </c>
      <c r="L60">
        <v>-1.7322422505655397E-2</v>
      </c>
      <c r="M60">
        <v>1.8737614767408317E-2</v>
      </c>
      <c r="N60">
        <v>5.60862765092561E-3</v>
      </c>
      <c r="O60">
        <v>3.4803429635645727E-3</v>
      </c>
      <c r="P60">
        <v>6.1753066978838395E-3</v>
      </c>
      <c r="Q60">
        <v>5.766201559607595E-3</v>
      </c>
      <c r="R60">
        <v>4.536516581000502E-3</v>
      </c>
      <c r="S60">
        <v>3.5006251675318983E-3</v>
      </c>
      <c r="T60">
        <v>3.4003229650611949E-3</v>
      </c>
      <c r="U60">
        <v>4.1552097897160495E-3</v>
      </c>
      <c r="V60">
        <v>9.0323259550097873E-3</v>
      </c>
      <c r="W60">
        <v>5.5851399465096235E-3</v>
      </c>
      <c r="X60">
        <v>5.2704268563392026E-3</v>
      </c>
      <c r="Y60">
        <v>8.1283131325903951E-3</v>
      </c>
      <c r="Z60">
        <v>7.1618372529185376E-3</v>
      </c>
      <c r="AA60">
        <v>7.4221957309748426E-3</v>
      </c>
      <c r="AB60">
        <v>7.136800329893736E-3</v>
      </c>
      <c r="AC60">
        <v>6.9113753084960178E-3</v>
      </c>
      <c r="AD60">
        <v>6.7682149256047958E-3</v>
      </c>
      <c r="AE60">
        <v>6.6669890671232218E-3</v>
      </c>
      <c r="AF60">
        <v>6.6024777662119921E-3</v>
      </c>
      <c r="AG60">
        <v>6.4801024004861735E-3</v>
      </c>
      <c r="AH60">
        <v>6.3196369592949803E-3</v>
      </c>
      <c r="AI60">
        <v>6.2065104853824965E-3</v>
      </c>
      <c r="AJ60">
        <v>6.1489576632157844E-3</v>
      </c>
      <c r="AK60">
        <v>6.1015811507644929E-3</v>
      </c>
      <c r="AL60">
        <v>6.0542056272999828E-3</v>
      </c>
      <c r="AM60">
        <v>6.0016134164432161E-3</v>
      </c>
      <c r="AN60">
        <v>5.9427497155489922E-3</v>
      </c>
      <c r="AO60">
        <v>5.8857067656368084E-3</v>
      </c>
      <c r="AP60">
        <v>5.8404529356590323E-3</v>
      </c>
      <c r="AQ60">
        <v>5.8079421598927899E-3</v>
      </c>
      <c r="AR60" t="s">
        <v>46</v>
      </c>
    </row>
    <row r="61" spans="1:44" x14ac:dyDescent="0.25">
      <c r="A61" t="s">
        <v>141</v>
      </c>
      <c r="B61" t="s">
        <v>0</v>
      </c>
      <c r="C61" t="s">
        <v>1</v>
      </c>
      <c r="D61">
        <v>-0.55791418642212354</v>
      </c>
      <c r="E61">
        <v>4.627893223757451E-3</v>
      </c>
      <c r="F61">
        <v>5.1095039054920022E-3</v>
      </c>
      <c r="G61">
        <v>4.3708371779067889E-3</v>
      </c>
      <c r="H61">
        <v>1.0915987678569994E-2</v>
      </c>
      <c r="I61">
        <v>7.5426291342687996E-3</v>
      </c>
      <c r="J61">
        <v>5.5785706880098068E-3</v>
      </c>
      <c r="K61">
        <v>2.1440686098182365E-3</v>
      </c>
      <c r="L61">
        <v>-1.3400922464856177E-2</v>
      </c>
      <c r="M61">
        <v>2.2222087697245013E-2</v>
      </c>
      <c r="N61">
        <v>7.6109022509949775E-3</v>
      </c>
      <c r="O61">
        <v>3.0414686124217022E-3</v>
      </c>
      <c r="P61">
        <v>5.9300357318664149E-3</v>
      </c>
      <c r="Q61">
        <v>6.0451802561280049E-3</v>
      </c>
      <c r="R61">
        <v>4.5215530743600157E-3</v>
      </c>
      <c r="S61">
        <v>2.1682703292344313E-3</v>
      </c>
      <c r="T61">
        <v>1.9396699275199963E-3</v>
      </c>
      <c r="U61">
        <v>2.7670531217432043E-3</v>
      </c>
      <c r="V61">
        <v>7.0851633333685743E-3</v>
      </c>
      <c r="W61">
        <v>4.2551799198373014E-3</v>
      </c>
      <c r="X61">
        <v>4.6986513092677068E-3</v>
      </c>
      <c r="Y61">
        <v>7.8162744916428079E-3</v>
      </c>
      <c r="Z61">
        <v>7.6251244376405319E-3</v>
      </c>
      <c r="AA61">
        <v>7.8599086881714769E-3</v>
      </c>
      <c r="AB61">
        <v>7.3527649567664694E-3</v>
      </c>
      <c r="AC61">
        <v>7.1411620249890034E-3</v>
      </c>
      <c r="AD61">
        <v>6.8571692354872232E-3</v>
      </c>
      <c r="AE61">
        <v>6.746220113422699E-3</v>
      </c>
      <c r="AF61">
        <v>6.6684574628385201E-3</v>
      </c>
      <c r="AG61">
        <v>6.601147270499777E-3</v>
      </c>
      <c r="AH61">
        <v>6.4743807751749677E-3</v>
      </c>
      <c r="AI61">
        <v>6.3086467681828101E-3</v>
      </c>
      <c r="AJ61">
        <v>6.1917747306679954E-3</v>
      </c>
      <c r="AK61">
        <v>6.1318315945721596E-3</v>
      </c>
      <c r="AL61">
        <v>6.081907990732785E-3</v>
      </c>
      <c r="AM61">
        <v>6.0321447782339804E-3</v>
      </c>
      <c r="AN61">
        <v>5.9771069049864983E-3</v>
      </c>
      <c r="AO61">
        <v>5.9153899716282016E-3</v>
      </c>
      <c r="AP61">
        <v>5.8556779320644708E-3</v>
      </c>
      <c r="AQ61">
        <v>5.8082921878819666E-3</v>
      </c>
      <c r="AR61" t="s">
        <v>46</v>
      </c>
    </row>
    <row r="62" spans="1:44" x14ac:dyDescent="0.25">
      <c r="A62" t="s">
        <v>142</v>
      </c>
      <c r="B62" t="s">
        <v>0</v>
      </c>
      <c r="C62" t="s">
        <v>1</v>
      </c>
      <c r="D62">
        <v>-0.55896800453115181</v>
      </c>
      <c r="E62">
        <v>4.2341687037373843E-3</v>
      </c>
      <c r="F62">
        <v>5.2888432767586174E-3</v>
      </c>
      <c r="G62">
        <v>3.5090144643748072E-3</v>
      </c>
      <c r="H62">
        <v>8.411441551068613E-3</v>
      </c>
      <c r="I62">
        <v>5.6833737332624978E-3</v>
      </c>
      <c r="J62">
        <v>4.4155851190200018E-3</v>
      </c>
      <c r="K62">
        <v>1.640192817310801E-3</v>
      </c>
      <c r="L62">
        <v>-6.7539975305300898E-3</v>
      </c>
      <c r="M62">
        <v>1.93824450234064E-2</v>
      </c>
      <c r="N62">
        <v>7.9186109711999603E-3</v>
      </c>
      <c r="O62">
        <v>3.5615812085234982E-3</v>
      </c>
      <c r="P62">
        <v>4.9050077500973066E-3</v>
      </c>
      <c r="Q62">
        <v>5.6422506319749877E-3</v>
      </c>
      <c r="R62">
        <v>4.5395594715999799E-3</v>
      </c>
      <c r="S62">
        <v>2.6337720763499883E-3</v>
      </c>
      <c r="T62">
        <v>2.5997244690061927E-3</v>
      </c>
      <c r="U62">
        <v>2.2970450038043155E-3</v>
      </c>
      <c r="V62">
        <v>6.4308945626909975E-3</v>
      </c>
      <c r="W62">
        <v>3.8117215749730038E-3</v>
      </c>
      <c r="X62">
        <v>4.1080685705872089E-3</v>
      </c>
      <c r="Y62">
        <v>7.3808895745783032E-3</v>
      </c>
      <c r="Z62">
        <v>6.5658420528152961E-3</v>
      </c>
      <c r="AA62">
        <v>5.7878107645100707E-3</v>
      </c>
      <c r="AB62">
        <v>4.8633184286079878E-3</v>
      </c>
      <c r="AC62">
        <v>4.7189445716130096E-3</v>
      </c>
      <c r="AD62">
        <v>4.4889648963812034E-3</v>
      </c>
      <c r="AE62">
        <v>4.2108019970441002E-3</v>
      </c>
      <c r="AF62">
        <v>4.0959329407467826E-3</v>
      </c>
      <c r="AG62">
        <v>4.0010801162040088E-3</v>
      </c>
      <c r="AH62">
        <v>3.9187164495444182E-3</v>
      </c>
      <c r="AI62">
        <v>3.7661000292210922E-3</v>
      </c>
      <c r="AJ62">
        <v>3.5685590206322171E-3</v>
      </c>
      <c r="AK62">
        <v>3.4285178595613863E-3</v>
      </c>
      <c r="AL62">
        <v>3.3555188857500029E-3</v>
      </c>
      <c r="AM62">
        <v>3.2943931876108223E-3</v>
      </c>
      <c r="AN62">
        <v>3.2337337734802962E-3</v>
      </c>
      <c r="AO62">
        <v>3.1667696590539363E-3</v>
      </c>
      <c r="AP62">
        <v>3.0923003051200049E-3</v>
      </c>
      <c r="AQ62">
        <v>3.0203525440289924E-3</v>
      </c>
      <c r="AR62" t="s">
        <v>46</v>
      </c>
    </row>
    <row r="63" spans="1:44" x14ac:dyDescent="0.25">
      <c r="A63" t="s">
        <v>143</v>
      </c>
      <c r="B63" t="s">
        <v>0</v>
      </c>
      <c r="C63" t="s">
        <v>1</v>
      </c>
      <c r="D63">
        <v>-0.56400645377829484</v>
      </c>
      <c r="E63">
        <v>3.4436505478698809E-3</v>
      </c>
      <c r="F63">
        <v>5.2693423838006959E-3</v>
      </c>
      <c r="G63">
        <v>7.7994972233603882E-3</v>
      </c>
      <c r="H63">
        <v>1.0146139526325995E-2</v>
      </c>
      <c r="I63">
        <v>5.2963204326994945E-3</v>
      </c>
      <c r="J63">
        <v>4.5590245955594993E-3</v>
      </c>
      <c r="K63">
        <v>2.6361092084096066E-3</v>
      </c>
      <c r="L63">
        <v>-2.0698442686931107E-3</v>
      </c>
      <c r="M63">
        <v>1.354904018267121E-2</v>
      </c>
      <c r="N63">
        <v>7.4875414677046254E-3</v>
      </c>
      <c r="O63">
        <v>5.0573913051020908E-3</v>
      </c>
      <c r="P63">
        <v>5.534356842127594E-3</v>
      </c>
      <c r="Q63">
        <v>4.5495874414339943E-3</v>
      </c>
      <c r="R63">
        <v>4.6423779412710087E-3</v>
      </c>
      <c r="S63">
        <v>3.033013081319591E-3</v>
      </c>
      <c r="T63">
        <v>3.1542149798410024E-3</v>
      </c>
      <c r="U63">
        <v>2.6068181904247978E-3</v>
      </c>
      <c r="V63">
        <v>5.3824208526709882E-3</v>
      </c>
      <c r="W63">
        <v>3.5555564909080239E-3</v>
      </c>
      <c r="X63">
        <v>4.092402082172486E-3</v>
      </c>
      <c r="Y63">
        <v>7.3821248379609128E-3</v>
      </c>
      <c r="Z63">
        <v>6.6081517800850031E-3</v>
      </c>
      <c r="AA63">
        <v>5.5306048363999993E-3</v>
      </c>
      <c r="AB63">
        <v>4.067789320417986E-3</v>
      </c>
      <c r="AC63">
        <v>3.7805188846615212E-3</v>
      </c>
      <c r="AD63">
        <v>3.5195111262154855E-3</v>
      </c>
      <c r="AE63">
        <v>3.2278337576021887E-3</v>
      </c>
      <c r="AF63">
        <v>2.8645048170306275E-3</v>
      </c>
      <c r="AG63">
        <v>2.7125713174179222E-3</v>
      </c>
      <c r="AH63">
        <v>2.5857353536002103E-3</v>
      </c>
      <c r="AI63">
        <v>2.4754165238368986E-3</v>
      </c>
      <c r="AJ63">
        <v>2.2710292595110038E-3</v>
      </c>
      <c r="AK63">
        <v>2.0076485860384963E-3</v>
      </c>
      <c r="AL63">
        <v>1.8213568280975867E-3</v>
      </c>
      <c r="AM63">
        <v>1.7232021362565964E-3</v>
      </c>
      <c r="AN63">
        <v>1.6409975259557008E-3</v>
      </c>
      <c r="AO63">
        <v>1.559122628795595E-3</v>
      </c>
      <c r="AP63">
        <v>1.4690147086131866E-3</v>
      </c>
      <c r="AQ63">
        <v>1.3688127694239105E-3</v>
      </c>
      <c r="AR63" t="s">
        <v>46</v>
      </c>
    </row>
    <row r="64" spans="1:44" x14ac:dyDescent="0.25">
      <c r="A64" t="s">
        <v>144</v>
      </c>
      <c r="B64" t="s">
        <v>0</v>
      </c>
      <c r="C64" t="s">
        <v>1</v>
      </c>
      <c r="D64">
        <v>-0.56110065884271287</v>
      </c>
      <c r="E64">
        <v>4.9076306216535581E-3</v>
      </c>
      <c r="F64">
        <v>5.4758794603008004E-3</v>
      </c>
      <c r="G64">
        <v>6.422785494423891E-3</v>
      </c>
      <c r="H64">
        <v>5.8382433904091008E-3</v>
      </c>
      <c r="I64">
        <v>5.4020895554304088E-3</v>
      </c>
      <c r="J64">
        <v>5.1997762084168009E-3</v>
      </c>
      <c r="K64">
        <v>3.5821516164045997E-3</v>
      </c>
      <c r="L64">
        <v>-2.1759625140239935E-4</v>
      </c>
      <c r="M64">
        <v>1.0480885591360511E-2</v>
      </c>
      <c r="N64">
        <v>6.2771046420351945E-3</v>
      </c>
      <c r="O64">
        <v>5.6384152833613838E-3</v>
      </c>
      <c r="P64">
        <v>6.9676036207534792E-3</v>
      </c>
      <c r="Q64">
        <v>5.5494548146299977E-3</v>
      </c>
      <c r="R64">
        <v>4.2228430641816084E-3</v>
      </c>
      <c r="S64">
        <v>4.1679677773800161E-3</v>
      </c>
      <c r="T64">
        <v>3.9091747614836136E-3</v>
      </c>
      <c r="U64">
        <v>3.5910902781970122E-3</v>
      </c>
      <c r="V64">
        <v>5.6903599539180338E-3</v>
      </c>
      <c r="W64">
        <v>3.9179984652580879E-3</v>
      </c>
      <c r="X64">
        <v>5.1210003213545963E-3</v>
      </c>
      <c r="Y64">
        <v>7.7175330236340101E-3</v>
      </c>
      <c r="Z64">
        <v>7.135982247138295E-3</v>
      </c>
      <c r="AA64">
        <v>6.5031134358576048E-3</v>
      </c>
      <c r="AB64">
        <v>4.5956930567437881E-3</v>
      </c>
      <c r="AC64">
        <v>4.1309893484704208E-3</v>
      </c>
      <c r="AD64">
        <v>3.6444111117141242E-3</v>
      </c>
      <c r="AE64">
        <v>3.3519537794114151E-3</v>
      </c>
      <c r="AF64">
        <v>2.9974456575118102E-3</v>
      </c>
      <c r="AG64">
        <v>2.5737354843637927E-3</v>
      </c>
      <c r="AH64">
        <v>2.3969726260759938E-3</v>
      </c>
      <c r="AI64">
        <v>2.2481736034396793E-3</v>
      </c>
      <c r="AJ64">
        <v>2.1184966724432097E-3</v>
      </c>
      <c r="AK64">
        <v>1.8789154104068007E-3</v>
      </c>
      <c r="AL64">
        <v>1.5708302312487099E-3</v>
      </c>
      <c r="AM64">
        <v>1.353211755795003E-3</v>
      </c>
      <c r="AN64">
        <v>1.2382687609896192E-3</v>
      </c>
      <c r="AO64">
        <v>1.1414241070381859E-3</v>
      </c>
      <c r="AP64">
        <v>1.0450562790375872E-3</v>
      </c>
      <c r="AQ64">
        <v>9.390714699971936E-4</v>
      </c>
      <c r="AR64" t="s">
        <v>46</v>
      </c>
    </row>
    <row r="65" spans="1:44" x14ac:dyDescent="0.25">
      <c r="A65" t="s">
        <v>145</v>
      </c>
      <c r="B65" t="s">
        <v>0</v>
      </c>
      <c r="C65" t="s">
        <v>1</v>
      </c>
      <c r="D65">
        <v>-0.56423898914711423</v>
      </c>
      <c r="E65">
        <v>5.6428763963349837E-3</v>
      </c>
      <c r="F65">
        <v>6.5251290817980034E-3</v>
      </c>
      <c r="G65">
        <v>6.4956558747664012E-3</v>
      </c>
      <c r="H65">
        <v>8.5286537342436075E-3</v>
      </c>
      <c r="I65">
        <v>6.5556528938188058E-3</v>
      </c>
      <c r="J65">
        <v>7.1647674724625993E-3</v>
      </c>
      <c r="K65">
        <v>5.8577596600753873E-3</v>
      </c>
      <c r="L65">
        <v>2.6876789991709948E-3</v>
      </c>
      <c r="M65">
        <v>1.13996692904208E-2</v>
      </c>
      <c r="N65">
        <v>7.2796681250141965E-3</v>
      </c>
      <c r="O65">
        <v>6.9097102130204063E-3</v>
      </c>
      <c r="P65">
        <v>8.2646609269479976E-3</v>
      </c>
      <c r="Q65">
        <v>8.1191685567457983E-3</v>
      </c>
      <c r="R65">
        <v>5.7935692068142031E-3</v>
      </c>
      <c r="S65">
        <v>4.7280851656455042E-3</v>
      </c>
      <c r="T65">
        <v>6.0303647075834882E-3</v>
      </c>
      <c r="U65">
        <v>5.7027939160200908E-3</v>
      </c>
      <c r="V65">
        <v>7.3811965386687967E-3</v>
      </c>
      <c r="W65">
        <v>4.6237122472819886E-3</v>
      </c>
      <c r="X65">
        <v>5.5852652846409973E-3</v>
      </c>
      <c r="Y65">
        <v>8.9803519692977923E-3</v>
      </c>
      <c r="Z65">
        <v>7.3656024363416145E-3</v>
      </c>
      <c r="AA65">
        <v>7.4300420026375963E-3</v>
      </c>
      <c r="AB65">
        <v>6.3367356888558019E-3</v>
      </c>
      <c r="AC65">
        <v>5.9004026627409306E-3</v>
      </c>
      <c r="AD65">
        <v>5.0749173445916035E-3</v>
      </c>
      <c r="AE65">
        <v>4.571896734110667E-3</v>
      </c>
      <c r="AF65">
        <v>4.2400461286016683E-3</v>
      </c>
      <c r="AG65">
        <v>3.8372437402946075E-3</v>
      </c>
      <c r="AH65">
        <v>3.3530596441695842E-3</v>
      </c>
      <c r="AI65">
        <v>3.1520840292096203E-3</v>
      </c>
      <c r="AJ65">
        <v>2.9824441264639928E-3</v>
      </c>
      <c r="AK65">
        <v>2.8349395959395979E-3</v>
      </c>
      <c r="AL65">
        <v>2.5597081074518052E-3</v>
      </c>
      <c r="AM65">
        <v>2.2050688417502157E-3</v>
      </c>
      <c r="AN65">
        <v>1.9550729075200196E-3</v>
      </c>
      <c r="AO65">
        <v>1.8232462247041864E-3</v>
      </c>
      <c r="AP65">
        <v>1.7117533489661857E-3</v>
      </c>
      <c r="AQ65">
        <v>1.6008187490177544E-3</v>
      </c>
      <c r="AR65" t="s">
        <v>46</v>
      </c>
    </row>
    <row r="66" spans="1:44" x14ac:dyDescent="0.25">
      <c r="A66" t="s">
        <v>146</v>
      </c>
      <c r="B66" t="s">
        <v>0</v>
      </c>
      <c r="C66" t="s">
        <v>1</v>
      </c>
      <c r="D66">
        <v>-0.56709310743659169</v>
      </c>
      <c r="E66">
        <v>7.7442981645314823E-3</v>
      </c>
      <c r="F66">
        <v>8.2254514487344055E-3</v>
      </c>
      <c r="G66">
        <v>1.0813959450631697E-2</v>
      </c>
      <c r="H66">
        <v>1.1439399231905401E-2</v>
      </c>
      <c r="I66">
        <v>8.1570334835939923E-3</v>
      </c>
      <c r="J66">
        <v>8.5744167886953881E-3</v>
      </c>
      <c r="K66">
        <v>7.6530651081283957E-3</v>
      </c>
      <c r="L66">
        <v>5.0597537404200033E-3</v>
      </c>
      <c r="M66">
        <v>1.2925540276552905E-2</v>
      </c>
      <c r="N66">
        <v>8.482748196102799E-3</v>
      </c>
      <c r="O66">
        <v>7.8107093671832134E-3</v>
      </c>
      <c r="P66">
        <v>9.3610561438135093E-3</v>
      </c>
      <c r="Q66">
        <v>9.500659824139196E-3</v>
      </c>
      <c r="R66">
        <v>9.0047683052000005E-3</v>
      </c>
      <c r="S66">
        <v>6.718634657586417E-3</v>
      </c>
      <c r="T66">
        <v>6.2488588834969799E-3</v>
      </c>
      <c r="U66">
        <v>7.0644940062370015E-3</v>
      </c>
      <c r="V66">
        <v>8.2722311165876056E-3</v>
      </c>
      <c r="W66">
        <v>5.8919700841108119E-3</v>
      </c>
      <c r="X66">
        <v>5.8757281658207011E-3</v>
      </c>
      <c r="Y66">
        <v>7.6646082932694121E-3</v>
      </c>
      <c r="Z66">
        <v>7.3485861818087944E-3</v>
      </c>
      <c r="AA66">
        <v>7.5245440879511544E-3</v>
      </c>
      <c r="AB66">
        <v>7.4057521924120046E-3</v>
      </c>
      <c r="AC66">
        <v>7.6106474418579789E-3</v>
      </c>
      <c r="AD66">
        <v>6.8094657673916231E-3</v>
      </c>
      <c r="AE66">
        <v>6.0043471901008033E-3</v>
      </c>
      <c r="AF66">
        <v>5.4522691566964016E-3</v>
      </c>
      <c r="AG66">
        <v>5.0904207708869914E-3</v>
      </c>
      <c r="AH66">
        <v>4.646680908657233E-3</v>
      </c>
      <c r="AI66">
        <v>4.1108909982823932E-3</v>
      </c>
      <c r="AJ66">
        <v>3.8903451052751808E-3</v>
      </c>
      <c r="AK66">
        <v>3.7020656710917837E-3</v>
      </c>
      <c r="AL66">
        <v>3.5386231009166963E-3</v>
      </c>
      <c r="AM66">
        <v>3.2312645636205922E-3</v>
      </c>
      <c r="AN66">
        <v>2.8356357711216834E-3</v>
      </c>
      <c r="AO66">
        <v>2.557883269268299E-3</v>
      </c>
      <c r="AP66">
        <v>2.4110422840545737E-3</v>
      </c>
      <c r="AQ66">
        <v>2.2864741218111967E-3</v>
      </c>
      <c r="AR66" t="s">
        <v>46</v>
      </c>
    </row>
    <row r="67" spans="1:44" x14ac:dyDescent="0.25">
      <c r="A67" t="s">
        <v>147</v>
      </c>
      <c r="B67" t="s">
        <v>0</v>
      </c>
      <c r="C67" t="s">
        <v>1</v>
      </c>
      <c r="D67">
        <v>-0.57436002130968622</v>
      </c>
      <c r="E67">
        <v>8.7768546185359453E-3</v>
      </c>
      <c r="F67">
        <v>9.4380722879293041E-3</v>
      </c>
      <c r="G67">
        <v>9.2161462558821988E-3</v>
      </c>
      <c r="H67">
        <v>9.2974349509745979E-3</v>
      </c>
      <c r="I67">
        <v>8.9813354034749965E-3</v>
      </c>
      <c r="J67">
        <v>1.0171715325830485E-2</v>
      </c>
      <c r="K67">
        <v>8.9095591412271941E-3</v>
      </c>
      <c r="L67">
        <v>7.9779185210163001E-3</v>
      </c>
      <c r="M67">
        <v>1.4305208756791893E-2</v>
      </c>
      <c r="N67">
        <v>1.0392513324094702E-2</v>
      </c>
      <c r="O67">
        <v>9.4645640358999999E-3</v>
      </c>
      <c r="P67">
        <v>1.0213229737760995E-2</v>
      </c>
      <c r="Q67">
        <v>1.0841132897570396E-2</v>
      </c>
      <c r="R67">
        <v>1.1181593773085793E-2</v>
      </c>
      <c r="S67">
        <v>1.0711345854769211E-2</v>
      </c>
      <c r="T67">
        <v>7.9010857236411908E-3</v>
      </c>
      <c r="U67">
        <v>7.4671258616268027E-3</v>
      </c>
      <c r="V67">
        <v>1.0088808199573404E-2</v>
      </c>
      <c r="W67">
        <v>6.9982041689743979E-3</v>
      </c>
      <c r="X67">
        <v>7.65163759977458E-3</v>
      </c>
      <c r="Y67">
        <v>7.635597635834393E-3</v>
      </c>
      <c r="Z67">
        <v>6.2527736165656073E-3</v>
      </c>
      <c r="AA67">
        <v>7.9233080638576731E-3</v>
      </c>
      <c r="AB67">
        <v>7.2697043252063359E-3</v>
      </c>
      <c r="AC67">
        <v>8.1490457764543806E-3</v>
      </c>
      <c r="AD67">
        <v>7.8062287437393046E-3</v>
      </c>
      <c r="AE67">
        <v>7.1805070268304988E-3</v>
      </c>
      <c r="AF67">
        <v>6.3234680502130963E-3</v>
      </c>
      <c r="AG67">
        <v>5.7442037320000056E-3</v>
      </c>
      <c r="AH67">
        <v>5.3619277598719733E-3</v>
      </c>
      <c r="AI67">
        <v>4.8849848988024719E-3</v>
      </c>
      <c r="AJ67">
        <v>4.3029179875170992E-3</v>
      </c>
      <c r="AK67">
        <v>4.0664342168099804E-3</v>
      </c>
      <c r="AL67">
        <v>3.8639346927659829E-3</v>
      </c>
      <c r="AM67">
        <v>3.6885189552759573E-3</v>
      </c>
      <c r="AN67">
        <v>3.3517526677035864E-3</v>
      </c>
      <c r="AO67">
        <v>2.9156049227288122E-3</v>
      </c>
      <c r="AP67">
        <v>2.6097284772718249E-3</v>
      </c>
      <c r="AQ67">
        <v>2.4489657169644158E-3</v>
      </c>
      <c r="AR67" t="s">
        <v>46</v>
      </c>
    </row>
    <row r="68" spans="1:44" x14ac:dyDescent="0.25">
      <c r="A68" t="s">
        <v>148</v>
      </c>
      <c r="B68" t="s">
        <v>0</v>
      </c>
      <c r="C68" t="s">
        <v>1</v>
      </c>
      <c r="D68">
        <v>-0.58189171269612516</v>
      </c>
      <c r="E68">
        <v>9.0327917026473692E-3</v>
      </c>
      <c r="F68">
        <v>9.8094870483199995E-3</v>
      </c>
      <c r="G68">
        <v>1.0071508107788396E-2</v>
      </c>
      <c r="H68">
        <v>1.1522249121798001E-2</v>
      </c>
      <c r="I68">
        <v>9.351289367192997E-3</v>
      </c>
      <c r="J68">
        <v>1.0572765129911794E-2</v>
      </c>
      <c r="K68">
        <v>9.8846821997704004E-3</v>
      </c>
      <c r="L68">
        <v>8.2903115636140043E-3</v>
      </c>
      <c r="M68">
        <v>1.4852855347653203E-2</v>
      </c>
      <c r="N68">
        <v>1.1079464564914106E-2</v>
      </c>
      <c r="O68">
        <v>1.114400528129441E-2</v>
      </c>
      <c r="P68">
        <v>1.1353381542342993E-2</v>
      </c>
      <c r="Q68">
        <v>1.1572507263091995E-2</v>
      </c>
      <c r="R68">
        <v>1.1856597089270803E-2</v>
      </c>
      <c r="S68">
        <v>1.2737413593809983E-2</v>
      </c>
      <c r="T68">
        <v>1.2431196053297421E-2</v>
      </c>
      <c r="U68">
        <v>9.2275284337094213E-3</v>
      </c>
      <c r="V68">
        <v>9.7882999981375937E-3</v>
      </c>
      <c r="W68">
        <v>9.1128708395386074E-3</v>
      </c>
      <c r="X68">
        <v>9.338122502492989E-3</v>
      </c>
      <c r="Y68">
        <v>1.0355982665000006E-2</v>
      </c>
      <c r="Z68">
        <v>7.4578890359397951E-3</v>
      </c>
      <c r="AA68">
        <v>7.6778890752676118E-3</v>
      </c>
      <c r="AB68">
        <v>8.5198304838819891E-3</v>
      </c>
      <c r="AC68">
        <v>8.9801176172909988E-3</v>
      </c>
      <c r="AD68">
        <v>9.005926555819492E-3</v>
      </c>
      <c r="AE68">
        <v>9.054585299513189E-3</v>
      </c>
      <c r="AF68">
        <v>8.3503706680682008E-3</v>
      </c>
      <c r="AG68">
        <v>7.3316101177960044E-3</v>
      </c>
      <c r="AH68">
        <v>6.6627340364120921E-3</v>
      </c>
      <c r="AI68">
        <v>6.2138030694927834E-3</v>
      </c>
      <c r="AJ68">
        <v>5.6447580540913075E-3</v>
      </c>
      <c r="AK68">
        <v>4.9401801473159743E-3</v>
      </c>
      <c r="AL68">
        <v>4.6657389946197989E-3</v>
      </c>
      <c r="AM68">
        <v>4.4272521279975982E-3</v>
      </c>
      <c r="AN68">
        <v>4.2206842346898185E-3</v>
      </c>
      <c r="AO68">
        <v>3.8044155108113917E-3</v>
      </c>
      <c r="AP68">
        <v>3.2594296367232031E-3</v>
      </c>
      <c r="AQ68">
        <v>2.8796599996195812E-3</v>
      </c>
      <c r="AR68" t="s">
        <v>46</v>
      </c>
    </row>
    <row r="69" spans="1:44" x14ac:dyDescent="0.25">
      <c r="A69" t="s">
        <v>149</v>
      </c>
      <c r="B69" t="s">
        <v>0</v>
      </c>
      <c r="C69" t="s">
        <v>1</v>
      </c>
      <c r="D69">
        <v>-0.59141133928679401</v>
      </c>
      <c r="E69">
        <v>8.0780162913839382E-3</v>
      </c>
      <c r="F69">
        <v>8.1499149343637993E-3</v>
      </c>
      <c r="G69">
        <v>8.3715494575879977E-3</v>
      </c>
      <c r="H69">
        <v>9.5865279021974011E-3</v>
      </c>
      <c r="I69">
        <v>8.7195985836046007E-3</v>
      </c>
      <c r="J69">
        <v>9.5626158415145004E-3</v>
      </c>
      <c r="K69">
        <v>9.3461718820245995E-3</v>
      </c>
      <c r="L69">
        <v>8.4982960163867971E-3</v>
      </c>
      <c r="M69">
        <v>1.2970199482396E-2</v>
      </c>
      <c r="N69">
        <v>1.1479750102104197E-2</v>
      </c>
      <c r="O69">
        <v>1.1746895694749994E-2</v>
      </c>
      <c r="P69">
        <v>1.2340437698075503E-2</v>
      </c>
      <c r="Q69">
        <v>1.2696492769933398E-2</v>
      </c>
      <c r="R69">
        <v>1.2460700544427605E-2</v>
      </c>
      <c r="S69">
        <v>1.3835960381117993E-2</v>
      </c>
      <c r="T69">
        <v>1.4933063670920788E-2</v>
      </c>
      <c r="U69">
        <v>1.5139796495442198E-2</v>
      </c>
      <c r="V69">
        <v>1.2644321944102588E-2</v>
      </c>
      <c r="W69">
        <v>1.0241554451679999E-2</v>
      </c>
      <c r="X69">
        <v>1.2881832134515603E-2</v>
      </c>
      <c r="Y69">
        <v>1.4583836634207994E-2</v>
      </c>
      <c r="Z69">
        <v>1.2093072425659199E-2</v>
      </c>
      <c r="AA69">
        <v>1.0340605877754996E-2</v>
      </c>
      <c r="AB69">
        <v>1.0601891645155598E-2</v>
      </c>
      <c r="AC69">
        <v>1.3752123167050517E-2</v>
      </c>
      <c r="AD69">
        <v>1.2755521004780362E-2</v>
      </c>
      <c r="AE69">
        <v>1.3392460804392825E-2</v>
      </c>
      <c r="AF69">
        <v>1.3515418457947209E-2</v>
      </c>
      <c r="AG69">
        <v>1.2526680213978014E-2</v>
      </c>
      <c r="AH69">
        <v>1.1026677418836783E-2</v>
      </c>
      <c r="AI69">
        <v>1.0049798992322417E-2</v>
      </c>
      <c r="AJ69">
        <v>9.3831937173463054E-3</v>
      </c>
      <c r="AK69">
        <v>8.5309890536890975E-3</v>
      </c>
      <c r="AL69">
        <v>7.4633291719040096E-3</v>
      </c>
      <c r="AM69">
        <v>7.054507142633587E-3</v>
      </c>
      <c r="AN69">
        <v>6.6909483369514133E-3</v>
      </c>
      <c r="AO69">
        <v>6.3703991266096938E-3</v>
      </c>
      <c r="AP69">
        <v>5.7198345664127848E-3</v>
      </c>
      <c r="AQ69">
        <v>4.8709632563860017E-3</v>
      </c>
      <c r="AR69" t="s">
        <v>46</v>
      </c>
    </row>
    <row r="70" spans="1:44" x14ac:dyDescent="0.25">
      <c r="A70" t="s">
        <v>150</v>
      </c>
      <c r="B70" t="s">
        <v>0</v>
      </c>
      <c r="C70" t="s">
        <v>1</v>
      </c>
      <c r="D70">
        <v>-0.59739041783234892</v>
      </c>
      <c r="E70">
        <v>5.110413551441817E-3</v>
      </c>
      <c r="F70">
        <v>5.5268083114520007E-3</v>
      </c>
      <c r="G70">
        <v>5.4172411187404998E-3</v>
      </c>
      <c r="H70">
        <v>6.1678343056947998E-3</v>
      </c>
      <c r="I70">
        <v>5.4597764933138008E-3</v>
      </c>
      <c r="J70">
        <v>6.4301088401240002E-3</v>
      </c>
      <c r="K70">
        <v>6.1131768143339992E-3</v>
      </c>
      <c r="L70">
        <v>5.6577998708074017E-3</v>
      </c>
      <c r="M70">
        <v>8.5932474056373987E-3</v>
      </c>
      <c r="N70">
        <v>7.5520341834532014E-3</v>
      </c>
      <c r="O70">
        <v>9.2074963158490005E-3</v>
      </c>
      <c r="P70">
        <v>1.0150990945772998E-2</v>
      </c>
      <c r="Q70">
        <v>1.0850550484137E-2</v>
      </c>
      <c r="R70">
        <v>1.1022657113815599E-2</v>
      </c>
      <c r="S70">
        <v>1.1902076467790705E-2</v>
      </c>
      <c r="T70">
        <v>1.3701931305473999E-2</v>
      </c>
      <c r="U70">
        <v>1.52697154390592E-2</v>
      </c>
      <c r="V70">
        <v>1.6615496607593601E-2</v>
      </c>
      <c r="W70">
        <v>1.1728512636216597E-2</v>
      </c>
      <c r="X70">
        <v>1.2708417501655904E-2</v>
      </c>
      <c r="Y70">
        <v>1.8307979751160393E-2</v>
      </c>
      <c r="Z70">
        <v>1.6508702393098616E-2</v>
      </c>
      <c r="AA70">
        <v>1.6005909011175608E-2</v>
      </c>
      <c r="AB70">
        <v>1.4331703072579492E-2</v>
      </c>
      <c r="AC70">
        <v>1.6414273229928188E-2</v>
      </c>
      <c r="AD70">
        <v>1.8539919665736003E-2</v>
      </c>
      <c r="AE70">
        <v>1.8296162171800016E-2</v>
      </c>
      <c r="AF70">
        <v>1.9403184315991605E-2</v>
      </c>
      <c r="AG70">
        <v>1.9939941201492194E-2</v>
      </c>
      <c r="AH70">
        <v>1.8987479055722366E-2</v>
      </c>
      <c r="AI70">
        <v>1.7144692797926707E-2</v>
      </c>
      <c r="AJ70">
        <v>1.6035121230346998E-2</v>
      </c>
      <c r="AK70">
        <v>1.5337403142966187E-2</v>
      </c>
      <c r="AL70">
        <v>1.4282782019355587E-2</v>
      </c>
      <c r="AM70">
        <v>1.2789903932529288E-2</v>
      </c>
      <c r="AN70">
        <v>1.2370458082085888E-2</v>
      </c>
      <c r="AO70">
        <v>1.1996863109331894E-2</v>
      </c>
      <c r="AP70">
        <v>1.1670589234466587E-2</v>
      </c>
      <c r="AQ70">
        <v>1.069946448456318E-2</v>
      </c>
      <c r="AR70" t="s">
        <v>46</v>
      </c>
    </row>
    <row r="71" spans="1:44" x14ac:dyDescent="0.25">
      <c r="A71" t="s">
        <v>151</v>
      </c>
      <c r="B71" t="s">
        <v>0</v>
      </c>
      <c r="C71" t="s">
        <v>1</v>
      </c>
      <c r="D71">
        <v>-0.59803111993095581</v>
      </c>
      <c r="E71">
        <v>1.7650135122164734E-3</v>
      </c>
      <c r="F71">
        <v>1.9738219225427004E-3</v>
      </c>
      <c r="G71">
        <v>1.901815425925E-3</v>
      </c>
      <c r="H71">
        <v>2.2707137229648002E-3</v>
      </c>
      <c r="I71">
        <v>2.1769265960560002E-3</v>
      </c>
      <c r="J71">
        <v>2.5497779918132002E-3</v>
      </c>
      <c r="K71">
        <v>2.7181887535274005E-3</v>
      </c>
      <c r="L71">
        <v>2.3521885319391996E-3</v>
      </c>
      <c r="M71">
        <v>3.6970174060539994E-3</v>
      </c>
      <c r="N71">
        <v>3.4848260571368E-3</v>
      </c>
      <c r="O71">
        <v>4.0680016683746004E-3</v>
      </c>
      <c r="P71">
        <v>5.4200239639660003E-3</v>
      </c>
      <c r="Q71">
        <v>5.9971389709357996E-3</v>
      </c>
      <c r="R71">
        <v>6.7262430916125004E-3</v>
      </c>
      <c r="S71">
        <v>7.2418301898750006E-3</v>
      </c>
      <c r="T71">
        <v>8.4846487687174985E-3</v>
      </c>
      <c r="U71">
        <v>1.0261567964643998E-2</v>
      </c>
      <c r="V71">
        <v>1.2595315128225702E-2</v>
      </c>
      <c r="W71">
        <v>1.2426132694620401E-2</v>
      </c>
      <c r="X71">
        <v>1.0800185216072801E-2</v>
      </c>
      <c r="Y71">
        <v>1.3950265011976199E-2</v>
      </c>
      <c r="Z71">
        <v>1.7296540415691598E-2</v>
      </c>
      <c r="AA71">
        <v>1.82899201015028E-2</v>
      </c>
      <c r="AB71">
        <v>1.8927039191476799E-2</v>
      </c>
      <c r="AC71">
        <v>1.8901187440007801E-2</v>
      </c>
      <c r="AD71">
        <v>2.1261994758265797E-2</v>
      </c>
      <c r="AE71">
        <v>2.624958437201539E-2</v>
      </c>
      <c r="AF71">
        <v>2.6189583014969299E-2</v>
      </c>
      <c r="AG71">
        <v>2.8040440584026501E-2</v>
      </c>
      <c r="AH71">
        <v>2.9818464195506093E-2</v>
      </c>
      <c r="AI71">
        <v>3.01773056295856E-2</v>
      </c>
      <c r="AJ71">
        <v>2.8871518987932006E-2</v>
      </c>
      <c r="AK71">
        <v>2.8720592357179921E-2</v>
      </c>
      <c r="AL71">
        <v>2.9076764090440028E-2</v>
      </c>
      <c r="AM71">
        <v>2.8659315916836799E-2</v>
      </c>
      <c r="AN71">
        <v>2.7152249727679996E-2</v>
      </c>
      <c r="AO71">
        <v>2.7776819435255624E-2</v>
      </c>
      <c r="AP71">
        <v>2.8431519091071923E-2</v>
      </c>
      <c r="AQ71">
        <v>2.9169853589448382E-2</v>
      </c>
      <c r="AR71" t="s">
        <v>46</v>
      </c>
    </row>
    <row r="72" spans="1:44" x14ac:dyDescent="0.25">
      <c r="A72" t="s">
        <v>152</v>
      </c>
      <c r="B72" t="s">
        <v>0</v>
      </c>
      <c r="C72" t="s">
        <v>1</v>
      </c>
      <c r="D72">
        <v>-0.59316335546934773</v>
      </c>
      <c r="E72">
        <v>3.6726274752862942E-4</v>
      </c>
      <c r="F72">
        <v>4.3021566626380006E-4</v>
      </c>
      <c r="G72">
        <v>3.9988285620289998E-4</v>
      </c>
      <c r="H72">
        <v>4.8103460480920009E-4</v>
      </c>
      <c r="I72">
        <v>4.8627591913149996E-4</v>
      </c>
      <c r="J72">
        <v>5.8984255648599989E-4</v>
      </c>
      <c r="K72">
        <v>6.2151941589199983E-4</v>
      </c>
      <c r="L72">
        <v>5.7598665334300015E-4</v>
      </c>
      <c r="M72">
        <v>8.1845237034179998E-4</v>
      </c>
      <c r="N72">
        <v>9.1103297009720015E-4</v>
      </c>
      <c r="O72">
        <v>1.1199277246085998E-3</v>
      </c>
      <c r="P72">
        <v>1.4074574449597999E-3</v>
      </c>
      <c r="Q72">
        <v>1.9307771309040999E-3</v>
      </c>
      <c r="R72">
        <v>2.3074522935915003E-3</v>
      </c>
      <c r="S72">
        <v>2.7227203933952002E-3</v>
      </c>
      <c r="T72">
        <v>3.1151980882132995E-3</v>
      </c>
      <c r="U72">
        <v>4.0284093113024996E-3</v>
      </c>
      <c r="V72">
        <v>5.5844448208849998E-3</v>
      </c>
      <c r="W72">
        <v>6.5423641484340014E-3</v>
      </c>
      <c r="X72">
        <v>7.3232726691173002E-3</v>
      </c>
      <c r="Y72">
        <v>7.4166850189990013E-3</v>
      </c>
      <c r="Z72">
        <v>9.3480900550189979E-3</v>
      </c>
      <c r="AA72">
        <v>1.2979308432963696E-2</v>
      </c>
      <c r="AB72">
        <v>1.47298449470921E-2</v>
      </c>
      <c r="AC72">
        <v>1.6126908024010199E-2</v>
      </c>
      <c r="AD72">
        <v>1.5785016203291098E-2</v>
      </c>
      <c r="AE72">
        <v>1.9332120954243096E-2</v>
      </c>
      <c r="AF72">
        <v>2.4266249402009596E-2</v>
      </c>
      <c r="AG72">
        <v>2.4612785479090002E-2</v>
      </c>
      <c r="AH72">
        <v>2.6767132363253704E-2</v>
      </c>
      <c r="AI72">
        <v>2.9172500871919999E-2</v>
      </c>
      <c r="AJ72">
        <v>3.0580720364388303E-2</v>
      </c>
      <c r="AK72">
        <v>3.0141759624579212E-2</v>
      </c>
      <c r="AL72">
        <v>3.1226712364520001E-2</v>
      </c>
      <c r="AM72">
        <v>3.2617712069994489E-2</v>
      </c>
      <c r="AN72">
        <v>3.3178360098797793E-2</v>
      </c>
      <c r="AO72">
        <v>3.2479406622055201E-2</v>
      </c>
      <c r="AP72">
        <v>3.4329714681321594E-2</v>
      </c>
      <c r="AQ72">
        <v>3.6200185959700495E-2</v>
      </c>
      <c r="AR72" t="s">
        <v>46</v>
      </c>
    </row>
    <row r="73" spans="1:44" x14ac:dyDescent="0.25">
      <c r="A73" t="s">
        <v>153</v>
      </c>
      <c r="B73" t="s">
        <v>0</v>
      </c>
      <c r="C73" t="s">
        <v>1</v>
      </c>
      <c r="D73">
        <v>-0.58575699014107208</v>
      </c>
      <c r="E73">
        <v>4.4846379825824734E-5</v>
      </c>
      <c r="F73">
        <v>4.9226135335600005E-5</v>
      </c>
      <c r="G73">
        <v>4.6464618802999992E-5</v>
      </c>
      <c r="H73">
        <v>5.3952881291499997E-5</v>
      </c>
      <c r="I73">
        <v>5.5968467010999998E-5</v>
      </c>
      <c r="J73">
        <v>8.85463758438E-5</v>
      </c>
      <c r="K73">
        <v>8.8553515654600011E-5</v>
      </c>
      <c r="L73">
        <v>7.9527240490999984E-5</v>
      </c>
      <c r="M73">
        <v>1.1120366773849999E-4</v>
      </c>
      <c r="N73">
        <v>1.4878293367599999E-4</v>
      </c>
      <c r="O73">
        <v>2.1019304202400001E-4</v>
      </c>
      <c r="P73">
        <v>2.4369271388300002E-4</v>
      </c>
      <c r="Q73">
        <v>2.8904939852799998E-4</v>
      </c>
      <c r="R73">
        <v>4.4041540241940009E-4</v>
      </c>
      <c r="S73">
        <v>5.2397272316799992E-4</v>
      </c>
      <c r="T73">
        <v>6.6741999430810009E-4</v>
      </c>
      <c r="U73">
        <v>8.50613179774E-4</v>
      </c>
      <c r="V73">
        <v>1.2573881802910999E-3</v>
      </c>
      <c r="W73">
        <v>1.7042004119073001E-3</v>
      </c>
      <c r="X73">
        <v>2.1542372137312001E-3</v>
      </c>
      <c r="Y73">
        <v>2.4744312671539995E-3</v>
      </c>
      <c r="Z73">
        <v>2.7340348676138E-3</v>
      </c>
      <c r="AA73">
        <v>3.9533516029050001E-3</v>
      </c>
      <c r="AB73">
        <v>5.7790863716802006E-3</v>
      </c>
      <c r="AC73">
        <v>6.7689830849831005E-3</v>
      </c>
      <c r="AD73">
        <v>7.1779334215685007E-3</v>
      </c>
      <c r="AE73">
        <v>7.3628012266168984E-3</v>
      </c>
      <c r="AF73">
        <v>9.2206874909800014E-3</v>
      </c>
      <c r="AG73">
        <v>1.1493010264746899E-2</v>
      </c>
      <c r="AH73">
        <v>1.1803988262866199E-2</v>
      </c>
      <c r="AI73">
        <v>1.3094718181808997E-2</v>
      </c>
      <c r="AJ73">
        <v>1.45268345588455E-2</v>
      </c>
      <c r="AK73">
        <v>1.5517924219981098E-2</v>
      </c>
      <c r="AL73">
        <v>1.54971946717666E-2</v>
      </c>
      <c r="AM73">
        <v>1.6467702993576902E-2</v>
      </c>
      <c r="AN73">
        <v>1.7463820338490005E-2</v>
      </c>
      <c r="AO73">
        <v>1.8032835375012601E-2</v>
      </c>
      <c r="AP73">
        <v>1.79620018000613E-2</v>
      </c>
      <c r="AQ73">
        <v>1.9298285171474798E-2</v>
      </c>
      <c r="AR73" t="s">
        <v>46</v>
      </c>
    </row>
    <row r="74" spans="1:44" x14ac:dyDescent="0.25">
      <c r="A74" t="s">
        <v>154</v>
      </c>
      <c r="B74" t="s">
        <v>0</v>
      </c>
      <c r="C74" t="s">
        <v>1</v>
      </c>
      <c r="D74">
        <v>-0.57773460378255492</v>
      </c>
      <c r="E74">
        <v>3.7375055876864849E-6</v>
      </c>
      <c r="F74">
        <v>2.2303643711600002E-6</v>
      </c>
      <c r="G74">
        <v>2.24726991543E-6</v>
      </c>
      <c r="H74">
        <v>2.0739879285E-6</v>
      </c>
      <c r="I74">
        <v>2.1406244514299994E-6</v>
      </c>
      <c r="J74">
        <v>9.7511524610999975E-7</v>
      </c>
      <c r="K74">
        <v>-4.923105658000002E-7</v>
      </c>
      <c r="L74">
        <v>-3.2644694955999998E-6</v>
      </c>
      <c r="M74">
        <v>3.6411786050000019E-7</v>
      </c>
      <c r="N74">
        <v>-4.2483938084999996E-6</v>
      </c>
      <c r="O74">
        <v>-5.6324349748000003E-6</v>
      </c>
      <c r="P74">
        <v>2.4940063863999997E-5</v>
      </c>
      <c r="Q74">
        <v>3.7107740550200002E-5</v>
      </c>
      <c r="R74">
        <v>3.3126479186600001E-5</v>
      </c>
      <c r="S74">
        <v>4.2811240640000006E-5</v>
      </c>
      <c r="T74">
        <v>6.5162203034899993E-5</v>
      </c>
      <c r="U74">
        <v>9.6748386240799993E-5</v>
      </c>
      <c r="V74">
        <v>1.3739703120999998E-4</v>
      </c>
      <c r="W74">
        <v>1.8262794137800003E-4</v>
      </c>
      <c r="X74">
        <v>2.5248028807040002E-4</v>
      </c>
      <c r="Y74">
        <v>3.3870211703860003E-4</v>
      </c>
      <c r="Z74">
        <v>2.9338854234139998E-4</v>
      </c>
      <c r="AA74">
        <v>5.2363227111100008E-4</v>
      </c>
      <c r="AB74">
        <v>7.0454714543119977E-4</v>
      </c>
      <c r="AC74">
        <v>1.1994644494655003E-3</v>
      </c>
      <c r="AD74">
        <v>1.6392517920548002E-3</v>
      </c>
      <c r="AE74">
        <v>1.892467053224E-3</v>
      </c>
      <c r="AF74">
        <v>2.0715908268119998E-3</v>
      </c>
      <c r="AG74">
        <v>2.5900433361959992E-3</v>
      </c>
      <c r="AH74">
        <v>3.2441626561409993E-3</v>
      </c>
      <c r="AI74">
        <v>3.5827760584975004E-3</v>
      </c>
      <c r="AJ74">
        <v>4.1064108477440004E-3</v>
      </c>
      <c r="AK74">
        <v>4.7869221249492002E-3</v>
      </c>
      <c r="AL74">
        <v>5.4598160153788008E-3</v>
      </c>
      <c r="AM74">
        <v>5.8927795148000011E-3</v>
      </c>
      <c r="AN74">
        <v>6.5684194902439997E-3</v>
      </c>
      <c r="AO74">
        <v>7.3794747481557002E-3</v>
      </c>
      <c r="AP74">
        <v>8.160195533569798E-3</v>
      </c>
      <c r="AQ74">
        <v>8.7762458009864007E-3</v>
      </c>
      <c r="AR74" t="s">
        <v>46</v>
      </c>
    </row>
  </sheetData>
  <phoneticPr fontId="2"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29"/>
  <sheetViews>
    <sheetView tabSelected="1" topLeftCell="U10" workbookViewId="0">
      <selection activeCell="A29" sqref="A29:AS29"/>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row r="15" spans="1:45" x14ac:dyDescent="0.25">
      <c r="A15" s="3" t="s">
        <v>374</v>
      </c>
      <c r="B15" t="s">
        <v>0</v>
      </c>
      <c r="C15" t="s">
        <v>1</v>
      </c>
      <c r="D15">
        <v>0.12225274725274726</v>
      </c>
      <c r="E15">
        <v>-1.4687882496940086E-2</v>
      </c>
      <c r="F15">
        <v>0.11925465838509308</v>
      </c>
      <c r="G15">
        <v>3.1076581576027218E-2</v>
      </c>
      <c r="H15">
        <v>-0.18945102260495195</v>
      </c>
      <c r="I15">
        <v>0.54847277556440899</v>
      </c>
      <c r="J15">
        <v>0.15265866209262469</v>
      </c>
      <c r="K15">
        <v>-9.4494047619047672E-2</v>
      </c>
      <c r="L15">
        <v>0.14215283483977004</v>
      </c>
      <c r="M15">
        <v>-0.53093525179856105</v>
      </c>
      <c r="N15">
        <v>1.1779141104294477</v>
      </c>
      <c r="O15">
        <v>0.29357716400292766</v>
      </c>
      <c r="P15">
        <v>0.23009754889845646</v>
      </c>
      <c r="Q15">
        <v>0.37239239054582196</v>
      </c>
      <c r="R15">
        <v>0.29603524370156409</v>
      </c>
      <c r="S15">
        <v>0.29543318431718024</v>
      </c>
      <c r="T15">
        <v>0.15137324390083418</v>
      </c>
      <c r="U15">
        <v>8.1553915878583849E-2</v>
      </c>
      <c r="V15">
        <v>0.1657449239324722</v>
      </c>
      <c r="W15">
        <v>7.4781998310273545E-2</v>
      </c>
      <c r="X15">
        <v>0.13527162014554817</v>
      </c>
      <c r="Y15">
        <v>0.111292532054732</v>
      </c>
      <c r="Z15">
        <v>3.8776326321823706E-2</v>
      </c>
      <c r="AA15">
        <v>6.1185386498655125E-2</v>
      </c>
      <c r="AB15">
        <v>8.041662441345121E-2</v>
      </c>
      <c r="AC15">
        <v>4.192068780800029E-2</v>
      </c>
      <c r="AD15" s="3">
        <v>2.5000000000000001E-2</v>
      </c>
      <c r="AE15" s="3">
        <v>2.5000000000000001E-2</v>
      </c>
      <c r="AF15" s="3">
        <v>2.5000000000000001E-2</v>
      </c>
      <c r="AG15" s="3">
        <v>2.5000000000000001E-2</v>
      </c>
      <c r="AH15" s="3">
        <v>2.5000000000000001E-2</v>
      </c>
      <c r="AI15" s="3">
        <v>2.5000000000000001E-2</v>
      </c>
      <c r="AJ15" s="3">
        <v>2.5000000000000001E-2</v>
      </c>
      <c r="AK15" s="3">
        <v>2.5000000000000001E-2</v>
      </c>
      <c r="AL15" s="3">
        <v>2.5000000000000001E-2</v>
      </c>
      <c r="AM15" s="3">
        <v>2.5000000000000001E-2</v>
      </c>
      <c r="AN15" s="3">
        <v>2.5000000000000001E-2</v>
      </c>
      <c r="AO15" s="3">
        <v>2.5000000000000001E-2</v>
      </c>
      <c r="AP15" s="3">
        <v>2.5000000000000001E-2</v>
      </c>
      <c r="AQ15" s="3">
        <v>2.5000000000000001E-2</v>
      </c>
      <c r="AR15" s="3">
        <v>2.5000000000000001E-2</v>
      </c>
      <c r="AS15" t="s">
        <v>46</v>
      </c>
    </row>
    <row r="18" spans="1:45" x14ac:dyDescent="0.25">
      <c r="A18" s="3" t="s">
        <v>369</v>
      </c>
    </row>
    <row r="19" spans="1:45" x14ac:dyDescent="0.25">
      <c r="A19" s="3" t="s">
        <v>352</v>
      </c>
      <c r="C19">
        <v>1</v>
      </c>
      <c r="D19">
        <f t="shared" ref="D19:AR19" si="0">(1+D11)*C19</f>
        <v>1.1222527472527473</v>
      </c>
      <c r="E19">
        <f t="shared" si="0"/>
        <v>1.1057692307692306</v>
      </c>
      <c r="F19">
        <f t="shared" si="0"/>
        <v>1.2376373626373625</v>
      </c>
      <c r="G19">
        <f t="shared" si="0"/>
        <v>1.2760989010989017</v>
      </c>
      <c r="H19">
        <f t="shared" si="0"/>
        <v>1.0343406593406592</v>
      </c>
      <c r="I19">
        <f t="shared" si="0"/>
        <v>1.6016483516483515</v>
      </c>
      <c r="J19">
        <f t="shared" si="0"/>
        <v>1.8461538461538465</v>
      </c>
      <c r="K19">
        <f t="shared" si="0"/>
        <v>1.671703296703297</v>
      </c>
      <c r="L19">
        <f t="shared" si="0"/>
        <v>1.9093406593406599</v>
      </c>
      <c r="M19">
        <f t="shared" si="0"/>
        <v>0.89560439560439609</v>
      </c>
      <c r="N19">
        <f t="shared" si="0"/>
        <v>1.9505494505494514</v>
      </c>
      <c r="O19">
        <f t="shared" si="0"/>
        <v>2.5231862264892282</v>
      </c>
      <c r="P19">
        <f t="shared" si="0"/>
        <v>3.1037651926187451</v>
      </c>
      <c r="Q19">
        <f t="shared" si="0"/>
        <v>4.2595837323909533</v>
      </c>
      <c r="R19">
        <f t="shared" si="0"/>
        <v>5.5205706406765271</v>
      </c>
      <c r="S19">
        <f t="shared" si="0"/>
        <v>7.1515304042995291</v>
      </c>
      <c r="T19">
        <f t="shared" si="0"/>
        <v>8.2340807604537929</v>
      </c>
      <c r="U19">
        <f t="shared" si="0"/>
        <v>8.9056022901293073</v>
      </c>
      <c r="V19">
        <f t="shared" si="0"/>
        <v>10.381660664279639</v>
      </c>
      <c r="W19">
        <f t="shared" si="0"/>
        <v>11.158021994533632</v>
      </c>
      <c r="X19">
        <f t="shared" si="0"/>
        <v>12.667385707353857</v>
      </c>
      <c r="Y19">
        <f t="shared" si="0"/>
        <v>14.077171137239191</v>
      </c>
      <c r="Z19">
        <f t="shared" si="0"/>
        <v>14.623032118944936</v>
      </c>
      <c r="AA19">
        <f t="shared" si="0"/>
        <v>15.51774799092483</v>
      </c>
      <c r="AB19">
        <f t="shared" si="0"/>
        <v>16.765632902853618</v>
      </c>
      <c r="AC19">
        <f t="shared" si="0"/>
        <v>17.468459765677682</v>
      </c>
      <c r="AD19">
        <f t="shared" si="0"/>
        <v>18.212454463631964</v>
      </c>
      <c r="AE19">
        <f t="shared" si="0"/>
        <v>18.212454463631964</v>
      </c>
      <c r="AF19">
        <f t="shared" si="0"/>
        <v>18.212454463631964</v>
      </c>
      <c r="AG19">
        <f t="shared" si="0"/>
        <v>18.212454463631964</v>
      </c>
      <c r="AH19">
        <f t="shared" si="0"/>
        <v>18.212454463631964</v>
      </c>
      <c r="AI19">
        <f t="shared" si="0"/>
        <v>18.212454463631964</v>
      </c>
      <c r="AJ19">
        <f t="shared" si="0"/>
        <v>18.212454463631964</v>
      </c>
      <c r="AK19">
        <f t="shared" si="0"/>
        <v>18.212454463631964</v>
      </c>
      <c r="AL19">
        <f t="shared" si="0"/>
        <v>18.212454463631964</v>
      </c>
      <c r="AM19">
        <f t="shared" si="0"/>
        <v>18.212454463631964</v>
      </c>
      <c r="AN19">
        <f t="shared" si="0"/>
        <v>18.212454463631964</v>
      </c>
      <c r="AO19">
        <f t="shared" si="0"/>
        <v>18.212454463631964</v>
      </c>
      <c r="AP19">
        <f t="shared" si="0"/>
        <v>18.212454463631964</v>
      </c>
      <c r="AQ19">
        <f t="shared" si="0"/>
        <v>18.212454463631964</v>
      </c>
      <c r="AR19">
        <f t="shared" si="0"/>
        <v>18.212454463631964</v>
      </c>
    </row>
    <row r="20" spans="1:45" x14ac:dyDescent="0.25">
      <c r="A20" s="3" t="s">
        <v>353</v>
      </c>
      <c r="C20">
        <v>1</v>
      </c>
      <c r="D20">
        <f t="shared" ref="D20:AR20" si="1">(1+D12)*C20</f>
        <v>1.1222527472527473</v>
      </c>
      <c r="E20">
        <f t="shared" si="1"/>
        <v>1.1057692307692306</v>
      </c>
      <c r="F20">
        <f t="shared" si="1"/>
        <v>1.2376373626373625</v>
      </c>
      <c r="G20">
        <f t="shared" si="1"/>
        <v>1.2760989010989017</v>
      </c>
      <c r="H20">
        <f t="shared" si="1"/>
        <v>1.0343406593406592</v>
      </c>
      <c r="I20">
        <f t="shared" si="1"/>
        <v>1.6016483516483515</v>
      </c>
      <c r="J20">
        <f t="shared" si="1"/>
        <v>1.8461538461538465</v>
      </c>
      <c r="K20">
        <f t="shared" si="1"/>
        <v>1.671703296703297</v>
      </c>
      <c r="L20">
        <f t="shared" si="1"/>
        <v>1.9093406593406599</v>
      </c>
      <c r="M20">
        <f t="shared" si="1"/>
        <v>0.89560439560439609</v>
      </c>
      <c r="N20">
        <f t="shared" si="1"/>
        <v>1.9505494505494514</v>
      </c>
      <c r="O20">
        <f t="shared" si="1"/>
        <v>2.5231862264892282</v>
      </c>
      <c r="P20">
        <f t="shared" si="1"/>
        <v>3.1037651926187451</v>
      </c>
      <c r="Q20">
        <f t="shared" si="1"/>
        <v>4.2595837323909533</v>
      </c>
      <c r="R20">
        <f t="shared" si="1"/>
        <v>5.5205706406765271</v>
      </c>
      <c r="S20">
        <f t="shared" si="1"/>
        <v>7.1515304042995291</v>
      </c>
      <c r="T20">
        <f t="shared" si="1"/>
        <v>8.2340807604537929</v>
      </c>
      <c r="U20">
        <f t="shared" si="1"/>
        <v>8.9056022901293073</v>
      </c>
      <c r="V20">
        <f t="shared" si="1"/>
        <v>10.381660664279639</v>
      </c>
      <c r="W20">
        <f t="shared" si="1"/>
        <v>11.158021994533632</v>
      </c>
      <c r="X20">
        <f t="shared" si="1"/>
        <v>12.667385707353857</v>
      </c>
      <c r="Y20">
        <f t="shared" si="1"/>
        <v>14.077171137239191</v>
      </c>
      <c r="Z20">
        <f t="shared" si="1"/>
        <v>14.623032118944936</v>
      </c>
      <c r="AA20">
        <f t="shared" si="1"/>
        <v>15.51774799092483</v>
      </c>
      <c r="AB20">
        <f t="shared" si="1"/>
        <v>16.765632902853618</v>
      </c>
      <c r="AC20">
        <f t="shared" si="1"/>
        <v>17.468459765677682</v>
      </c>
      <c r="AD20">
        <f t="shared" si="1"/>
        <v>18.836941314735437</v>
      </c>
      <c r="AE20">
        <f t="shared" si="1"/>
        <v>20.614596693441005</v>
      </c>
      <c r="AF20">
        <f t="shared" si="1"/>
        <v>22.648829512186477</v>
      </c>
      <c r="AG20">
        <f t="shared" si="1"/>
        <v>24.6890147053807</v>
      </c>
      <c r="AH20">
        <f t="shared" si="1"/>
        <v>26.860155524439921</v>
      </c>
      <c r="AI20">
        <f t="shared" si="1"/>
        <v>29.222225487996671</v>
      </c>
      <c r="AJ20">
        <f t="shared" si="1"/>
        <v>31.792014818913756</v>
      </c>
      <c r="AK20">
        <f t="shared" si="1"/>
        <v>34.587790264680578</v>
      </c>
      <c r="AL20">
        <f t="shared" si="1"/>
        <v>37.629424942322899</v>
      </c>
      <c r="AM20">
        <f t="shared" si="1"/>
        <v>40.938539601815449</v>
      </c>
      <c r="AN20">
        <f t="shared" si="1"/>
        <v>44.538656312135316</v>
      </c>
      <c r="AO20">
        <f t="shared" si="1"/>
        <v>48.455365662397561</v>
      </c>
      <c r="AP20">
        <f t="shared" si="1"/>
        <v>52.716508666583309</v>
      </c>
      <c r="AQ20">
        <f t="shared" si="1"/>
        <v>57.35237466488757</v>
      </c>
      <c r="AR20">
        <f t="shared" si="1"/>
        <v>62.39591662842237</v>
      </c>
    </row>
    <row r="21" spans="1:45" x14ac:dyDescent="0.25">
      <c r="A21" s="3" t="s">
        <v>354</v>
      </c>
      <c r="C21">
        <v>1</v>
      </c>
      <c r="D21">
        <f t="shared" ref="D21:AR21" si="2">(1+D13)*C21</f>
        <v>1.1222527472527473</v>
      </c>
      <c r="E21">
        <f t="shared" si="2"/>
        <v>1.1057692307692306</v>
      </c>
      <c r="F21">
        <f t="shared" si="2"/>
        <v>1.2376373626373625</v>
      </c>
      <c r="G21">
        <f t="shared" si="2"/>
        <v>1.2760989010989017</v>
      </c>
      <c r="H21">
        <f t="shared" si="2"/>
        <v>1.0343406593406592</v>
      </c>
      <c r="I21">
        <f t="shared" si="2"/>
        <v>1.6016483516483515</v>
      </c>
      <c r="J21">
        <f t="shared" si="2"/>
        <v>1.8461538461538465</v>
      </c>
      <c r="K21">
        <f t="shared" si="2"/>
        <v>1.671703296703297</v>
      </c>
      <c r="L21">
        <f t="shared" si="2"/>
        <v>1.9093406593406599</v>
      </c>
      <c r="M21">
        <f t="shared" si="2"/>
        <v>0.89560439560439609</v>
      </c>
      <c r="N21">
        <f t="shared" si="2"/>
        <v>1.9505494505494514</v>
      </c>
      <c r="O21">
        <f t="shared" si="2"/>
        <v>2.5231862264892282</v>
      </c>
      <c r="P21">
        <f t="shared" si="2"/>
        <v>3.1037651926187451</v>
      </c>
      <c r="Q21">
        <f t="shared" si="2"/>
        <v>4.2595837323909533</v>
      </c>
      <c r="R21">
        <f t="shared" si="2"/>
        <v>5.5205706406765271</v>
      </c>
      <c r="S21">
        <f t="shared" si="2"/>
        <v>7.1515304042995291</v>
      </c>
      <c r="T21">
        <f t="shared" si="2"/>
        <v>8.2340807604537929</v>
      </c>
      <c r="U21">
        <f t="shared" si="2"/>
        <v>8.9056022901293073</v>
      </c>
      <c r="V21">
        <f t="shared" si="2"/>
        <v>10.381660664279639</v>
      </c>
      <c r="W21">
        <f t="shared" si="2"/>
        <v>11.158021994533632</v>
      </c>
      <c r="X21">
        <f t="shared" si="2"/>
        <v>12.667385707353857</v>
      </c>
      <c r="Y21">
        <f t="shared" si="2"/>
        <v>14.077171137239191</v>
      </c>
      <c r="Z21">
        <f t="shared" si="2"/>
        <v>14.623032118944936</v>
      </c>
      <c r="AA21">
        <f t="shared" si="2"/>
        <v>15.51774799092483</v>
      </c>
      <c r="AB21">
        <f t="shared" si="2"/>
        <v>16.765632902853618</v>
      </c>
      <c r="AC21">
        <f t="shared" si="2"/>
        <v>17.468459765677682</v>
      </c>
      <c r="AD21">
        <f t="shared" si="2"/>
        <v>18.799915394810874</v>
      </c>
      <c r="AE21">
        <f t="shared" si="2"/>
        <v>20.053804532120097</v>
      </c>
      <c r="AF21">
        <f t="shared" si="2"/>
        <v>21.181297272277327</v>
      </c>
      <c r="AG21">
        <f t="shared" si="2"/>
        <v>22.195675968057021</v>
      </c>
      <c r="AH21">
        <f t="shared" si="2"/>
        <v>23.212622420071288</v>
      </c>
      <c r="AI21">
        <f t="shared" si="2"/>
        <v>24.276162636012941</v>
      </c>
      <c r="AJ21">
        <f t="shared" si="2"/>
        <v>25.388431417407293</v>
      </c>
      <c r="AK21">
        <f t="shared" si="2"/>
        <v>26.551661376670392</v>
      </c>
      <c r="AL21">
        <f t="shared" si="2"/>
        <v>27.768187418542183</v>
      </c>
      <c r="AM21">
        <f t="shared" si="2"/>
        <v>29.040451426846936</v>
      </c>
      <c r="AN21">
        <f t="shared" si="2"/>
        <v>30.371007165988495</v>
      </c>
      <c r="AO21">
        <f t="shared" si="2"/>
        <v>31.762525407018916</v>
      </c>
      <c r="AP21">
        <f t="shared" si="2"/>
        <v>33.217799288569843</v>
      </c>
      <c r="AQ21">
        <f t="shared" si="2"/>
        <v>34.739749923407402</v>
      </c>
      <c r="AR21">
        <f t="shared" si="2"/>
        <v>36.331432261864457</v>
      </c>
    </row>
    <row r="22" spans="1:45" x14ac:dyDescent="0.25">
      <c r="A22" t="s">
        <v>355</v>
      </c>
      <c r="C22">
        <v>1</v>
      </c>
      <c r="D22">
        <f t="shared" ref="D22:AR22" si="3">(1+D14)*C22</f>
        <v>1.1222527472527473</v>
      </c>
      <c r="E22">
        <f t="shared" si="3"/>
        <v>1.1057692307692306</v>
      </c>
      <c r="F22">
        <f t="shared" si="3"/>
        <v>1.2376373626373625</v>
      </c>
      <c r="G22">
        <f t="shared" si="3"/>
        <v>1.2760989010989017</v>
      </c>
      <c r="H22">
        <f t="shared" si="3"/>
        <v>1.0343406593406592</v>
      </c>
      <c r="I22">
        <f t="shared" si="3"/>
        <v>1.6016483516483515</v>
      </c>
      <c r="J22">
        <f t="shared" si="3"/>
        <v>1.8461538461538465</v>
      </c>
      <c r="K22">
        <f t="shared" si="3"/>
        <v>1.671703296703297</v>
      </c>
      <c r="L22">
        <f t="shared" si="3"/>
        <v>1.9093406593406599</v>
      </c>
      <c r="M22">
        <f t="shared" si="3"/>
        <v>0.89560439560439609</v>
      </c>
      <c r="N22">
        <f t="shared" si="3"/>
        <v>1.9505494505494514</v>
      </c>
      <c r="O22">
        <f t="shared" si="3"/>
        <v>2.5231862264892282</v>
      </c>
      <c r="P22">
        <f t="shared" si="3"/>
        <v>3.1037651926187451</v>
      </c>
      <c r="Q22">
        <f t="shared" si="3"/>
        <v>4.2595837323909533</v>
      </c>
      <c r="R22">
        <f t="shared" si="3"/>
        <v>5.5205706406765271</v>
      </c>
      <c r="S22">
        <f t="shared" si="3"/>
        <v>7.1515304042995291</v>
      </c>
      <c r="T22">
        <f t="shared" si="3"/>
        <v>8.2340807604537929</v>
      </c>
      <c r="U22">
        <f t="shared" si="3"/>
        <v>8.9056022901293073</v>
      </c>
      <c r="V22">
        <f t="shared" si="3"/>
        <v>10.381660664279639</v>
      </c>
      <c r="W22">
        <f t="shared" si="3"/>
        <v>11.158021994533632</v>
      </c>
      <c r="X22">
        <f t="shared" si="3"/>
        <v>12.667385707353857</v>
      </c>
      <c r="Y22">
        <f t="shared" si="3"/>
        <v>14.077171137239191</v>
      </c>
      <c r="Z22">
        <f t="shared" si="3"/>
        <v>14.623032118944936</v>
      </c>
      <c r="AA22">
        <f t="shared" si="3"/>
        <v>15.51774799092483</v>
      </c>
      <c r="AB22">
        <f t="shared" si="3"/>
        <v>16.765632902853618</v>
      </c>
      <c r="AC22">
        <f t="shared" si="3"/>
        <v>17.468459765677682</v>
      </c>
      <c r="AD22">
        <f t="shared" si="3"/>
        <v>18.818428354773157</v>
      </c>
      <c r="AE22">
        <f t="shared" si="3"/>
        <v>20.332878951738923</v>
      </c>
      <c r="AF22">
        <f t="shared" si="3"/>
        <v>21.904497864247048</v>
      </c>
      <c r="AG22">
        <f t="shared" si="3"/>
        <v>23.412153046022741</v>
      </c>
      <c r="AH22">
        <f t="shared" si="3"/>
        <v>24.974270621332423</v>
      </c>
      <c r="AI22">
        <f t="shared" si="3"/>
        <v>26.640616599484613</v>
      </c>
      <c r="AJ22">
        <f t="shared" si="3"/>
        <v>28.418145360950291</v>
      </c>
      <c r="AK22">
        <f t="shared" si="3"/>
        <v>30.314275299908942</v>
      </c>
      <c r="AL22">
        <f t="shared" si="3"/>
        <v>32.336919784407065</v>
      </c>
      <c r="AM22">
        <f t="shared" si="3"/>
        <v>34.494520182256117</v>
      </c>
      <c r="AN22">
        <f t="shared" si="3"/>
        <v>36.79608109050119</v>
      </c>
      <c r="AO22">
        <f t="shared" si="3"/>
        <v>39.251207915488216</v>
      </c>
      <c r="AP22">
        <f t="shared" si="3"/>
        <v>41.870146960367506</v>
      </c>
      <c r="AQ22">
        <f t="shared" si="3"/>
        <v>44.663828187336101</v>
      </c>
      <c r="AR22">
        <f t="shared" si="3"/>
        <v>47.643910833084149</v>
      </c>
    </row>
    <row r="23" spans="1:45" x14ac:dyDescent="0.25">
      <c r="A23" s="3" t="s">
        <v>374</v>
      </c>
      <c r="C23">
        <v>1</v>
      </c>
      <c r="D23">
        <f>(1+D15)*C23</f>
        <v>1.1222527472527473</v>
      </c>
      <c r="E23">
        <f t="shared" ref="E23:AR23" si="4">(1+E15)*D23</f>
        <v>1.1057692307692306</v>
      </c>
      <c r="F23">
        <f t="shared" si="4"/>
        <v>1.2376373626373625</v>
      </c>
      <c r="G23">
        <f t="shared" si="4"/>
        <v>1.2760989010989017</v>
      </c>
      <c r="H23">
        <f t="shared" si="4"/>
        <v>1.0343406593406592</v>
      </c>
      <c r="I23">
        <f t="shared" si="4"/>
        <v>1.6016483516483515</v>
      </c>
      <c r="J23">
        <f t="shared" si="4"/>
        <v>1.8461538461538465</v>
      </c>
      <c r="K23">
        <f t="shared" si="4"/>
        <v>1.671703296703297</v>
      </c>
      <c r="L23">
        <f t="shared" si="4"/>
        <v>1.9093406593406599</v>
      </c>
      <c r="M23">
        <f t="shared" si="4"/>
        <v>0.89560439560439609</v>
      </c>
      <c r="N23">
        <f t="shared" si="4"/>
        <v>1.9505494505494514</v>
      </c>
      <c r="O23">
        <f t="shared" si="4"/>
        <v>2.5231862264892282</v>
      </c>
      <c r="P23">
        <f t="shared" si="4"/>
        <v>3.1037651926187451</v>
      </c>
      <c r="Q23">
        <f t="shared" si="4"/>
        <v>4.2595837323909533</v>
      </c>
      <c r="R23">
        <f t="shared" si="4"/>
        <v>5.5205706406765271</v>
      </c>
      <c r="S23">
        <f t="shared" si="4"/>
        <v>7.1515304042995291</v>
      </c>
      <c r="T23">
        <f t="shared" si="4"/>
        <v>8.2340807604537929</v>
      </c>
      <c r="U23">
        <f t="shared" si="4"/>
        <v>8.9056022901293073</v>
      </c>
      <c r="V23">
        <f t="shared" si="4"/>
        <v>10.381660664279639</v>
      </c>
      <c r="W23">
        <f t="shared" si="4"/>
        <v>11.158021994533632</v>
      </c>
      <c r="X23">
        <f t="shared" si="4"/>
        <v>12.667385707353857</v>
      </c>
      <c r="Y23">
        <f t="shared" si="4"/>
        <v>14.077171137239191</v>
      </c>
      <c r="Z23">
        <f t="shared" si="4"/>
        <v>14.623032118944936</v>
      </c>
      <c r="AA23">
        <f t="shared" si="4"/>
        <v>15.51774799092483</v>
      </c>
      <c r="AB23">
        <f t="shared" si="4"/>
        <v>16.765632902853618</v>
      </c>
      <c r="AC23">
        <f t="shared" si="4"/>
        <v>17.468459765677682</v>
      </c>
      <c r="AD23">
        <f t="shared" si="4"/>
        <v>17.905171259819621</v>
      </c>
      <c r="AE23">
        <f t="shared" si="4"/>
        <v>18.352800541315109</v>
      </c>
      <c r="AF23">
        <f t="shared" si="4"/>
        <v>18.811620554847984</v>
      </c>
      <c r="AG23">
        <f t="shared" si="4"/>
        <v>19.281911068719182</v>
      </c>
      <c r="AH23">
        <f t="shared" si="4"/>
        <v>19.763958845437159</v>
      </c>
      <c r="AI23">
        <f t="shared" si="4"/>
        <v>20.258057816573086</v>
      </c>
      <c r="AJ23">
        <f t="shared" si="4"/>
        <v>20.76450926198741</v>
      </c>
      <c r="AK23">
        <f t="shared" si="4"/>
        <v>21.283621993537093</v>
      </c>
      <c r="AL23">
        <f t="shared" si="4"/>
        <v>21.815712543375518</v>
      </c>
      <c r="AM23">
        <f t="shared" si="4"/>
        <v>22.361105356959904</v>
      </c>
      <c r="AN23">
        <f t="shared" si="4"/>
        <v>22.9201329908839</v>
      </c>
      <c r="AO23">
        <f t="shared" si="4"/>
        <v>23.493136315655995</v>
      </c>
      <c r="AP23">
        <f t="shared" si="4"/>
        <v>24.080464723547394</v>
      </c>
      <c r="AQ23">
        <f t="shared" si="4"/>
        <v>24.682476341636075</v>
      </c>
      <c r="AR23">
        <f t="shared" si="4"/>
        <v>25.299538250176976</v>
      </c>
    </row>
    <row r="25" spans="1:45" x14ac:dyDescent="0.25">
      <c r="A25" s="3" t="s">
        <v>370</v>
      </c>
      <c r="B25" t="s">
        <v>0</v>
      </c>
      <c r="C25" t="s">
        <v>1</v>
      </c>
      <c r="D25">
        <f t="shared" ref="D25:AR25" si="5">D19/$X19</f>
        <v>8.8593871946382796E-2</v>
      </c>
      <c r="E25">
        <f t="shared" si="5"/>
        <v>8.7292615565285364E-2</v>
      </c>
      <c r="F25">
        <f t="shared" si="5"/>
        <v>9.7702666614064737E-2</v>
      </c>
      <c r="G25">
        <f t="shared" si="5"/>
        <v>0.10073893150329211</v>
      </c>
      <c r="H25">
        <f t="shared" si="5"/>
        <v>8.16538379138632E-2</v>
      </c>
      <c r="I25">
        <f t="shared" si="5"/>
        <v>0.12643874502996613</v>
      </c>
      <c r="J25">
        <f t="shared" si="5"/>
        <v>0.14574071468291125</v>
      </c>
      <c r="K25">
        <f t="shared" si="5"/>
        <v>0.1319690846496302</v>
      </c>
      <c r="L25">
        <f t="shared" si="5"/>
        <v>0.15072886414378472</v>
      </c>
      <c r="M25">
        <f t="shared" si="5"/>
        <v>7.0701596706293293E-2</v>
      </c>
      <c r="N25">
        <f t="shared" si="5"/>
        <v>0.15398200509652832</v>
      </c>
      <c r="O25">
        <f t="shared" si="5"/>
        <v>0.19918760546025144</v>
      </c>
      <c r="P25">
        <f t="shared" si="5"/>
        <v>0.2450201852476081</v>
      </c>
      <c r="Q25">
        <f t="shared" si="5"/>
        <v>0.33626383776394503</v>
      </c>
      <c r="R25">
        <f t="shared" si="5"/>
        <v>0.43580978492441769</v>
      </c>
      <c r="S25">
        <f t="shared" si="5"/>
        <v>0.56456245744122391</v>
      </c>
      <c r="T25">
        <f t="shared" si="5"/>
        <v>0.65002210800872851</v>
      </c>
      <c r="U25">
        <f t="shared" si="5"/>
        <v>0.70303395632449217</v>
      </c>
      <c r="V25">
        <f t="shared" si="5"/>
        <v>0.81955826593744008</v>
      </c>
      <c r="W25">
        <f t="shared" si="5"/>
        <v>0.88084647079594436</v>
      </c>
      <c r="X25">
        <f t="shared" si="5"/>
        <v>1</v>
      </c>
      <c r="Y25">
        <f t="shared" si="5"/>
        <v>1.111292532054732</v>
      </c>
      <c r="Z25">
        <f t="shared" si="5"/>
        <v>1.1543843739166921</v>
      </c>
      <c r="AA25">
        <f t="shared" si="5"/>
        <v>1.225015828002793</v>
      </c>
      <c r="AB25">
        <f t="shared" si="5"/>
        <v>1.3235274657438263</v>
      </c>
      <c r="AC25">
        <f t="shared" si="5"/>
        <v>1.3790106474405872</v>
      </c>
      <c r="AD25">
        <f t="shared" si="5"/>
        <v>1.4377437368990038</v>
      </c>
      <c r="AE25">
        <f t="shared" si="5"/>
        <v>1.4377437368990038</v>
      </c>
      <c r="AF25">
        <f t="shared" si="5"/>
        <v>1.4377437368990038</v>
      </c>
      <c r="AG25">
        <f t="shared" si="5"/>
        <v>1.4377437368990038</v>
      </c>
      <c r="AH25">
        <f t="shared" si="5"/>
        <v>1.4377437368990038</v>
      </c>
      <c r="AI25">
        <f t="shared" si="5"/>
        <v>1.4377437368990038</v>
      </c>
      <c r="AJ25">
        <f t="shared" si="5"/>
        <v>1.4377437368990038</v>
      </c>
      <c r="AK25">
        <f t="shared" si="5"/>
        <v>1.4377437368990038</v>
      </c>
      <c r="AL25">
        <f t="shared" si="5"/>
        <v>1.4377437368990038</v>
      </c>
      <c r="AM25">
        <f t="shared" si="5"/>
        <v>1.4377437368990038</v>
      </c>
      <c r="AN25">
        <f t="shared" si="5"/>
        <v>1.4377437368990038</v>
      </c>
      <c r="AO25">
        <f t="shared" si="5"/>
        <v>1.4377437368990038</v>
      </c>
      <c r="AP25">
        <f t="shared" si="5"/>
        <v>1.4377437368990038</v>
      </c>
      <c r="AQ25">
        <f t="shared" si="5"/>
        <v>1.4377437368990038</v>
      </c>
      <c r="AR25">
        <f t="shared" si="5"/>
        <v>1.4377437368990038</v>
      </c>
      <c r="AS25" t="s">
        <v>46</v>
      </c>
    </row>
    <row r="26" spans="1:45" x14ac:dyDescent="0.25">
      <c r="A26" s="3" t="s">
        <v>371</v>
      </c>
      <c r="B26" t="s">
        <v>0</v>
      </c>
      <c r="C26" t="s">
        <v>1</v>
      </c>
      <c r="D26">
        <f t="shared" ref="D26:AR26" si="6">D20/$X20</f>
        <v>8.8593871946382796E-2</v>
      </c>
      <c r="E26">
        <f t="shared" si="6"/>
        <v>8.7292615565285364E-2</v>
      </c>
      <c r="F26">
        <f t="shared" si="6"/>
        <v>9.7702666614064737E-2</v>
      </c>
      <c r="G26">
        <f t="shared" si="6"/>
        <v>0.10073893150329211</v>
      </c>
      <c r="H26">
        <f t="shared" si="6"/>
        <v>8.16538379138632E-2</v>
      </c>
      <c r="I26">
        <f t="shared" si="6"/>
        <v>0.12643874502996613</v>
      </c>
      <c r="J26">
        <f t="shared" si="6"/>
        <v>0.14574071468291125</v>
      </c>
      <c r="K26">
        <f t="shared" si="6"/>
        <v>0.1319690846496302</v>
      </c>
      <c r="L26">
        <f t="shared" si="6"/>
        <v>0.15072886414378472</v>
      </c>
      <c r="M26">
        <f t="shared" si="6"/>
        <v>7.0701596706293293E-2</v>
      </c>
      <c r="N26">
        <f t="shared" si="6"/>
        <v>0.15398200509652832</v>
      </c>
      <c r="O26">
        <f t="shared" si="6"/>
        <v>0.19918760546025144</v>
      </c>
      <c r="P26">
        <f t="shared" si="6"/>
        <v>0.2450201852476081</v>
      </c>
      <c r="Q26">
        <f t="shared" si="6"/>
        <v>0.33626383776394503</v>
      </c>
      <c r="R26">
        <f t="shared" si="6"/>
        <v>0.43580978492441769</v>
      </c>
      <c r="S26">
        <f t="shared" si="6"/>
        <v>0.56456245744122391</v>
      </c>
      <c r="T26">
        <f t="shared" si="6"/>
        <v>0.65002210800872851</v>
      </c>
      <c r="U26">
        <f t="shared" si="6"/>
        <v>0.70303395632449217</v>
      </c>
      <c r="V26">
        <f t="shared" si="6"/>
        <v>0.81955826593744008</v>
      </c>
      <c r="W26">
        <f t="shared" si="6"/>
        <v>0.88084647079594436</v>
      </c>
      <c r="X26">
        <f t="shared" si="6"/>
        <v>1</v>
      </c>
      <c r="Y26">
        <f t="shared" si="6"/>
        <v>1.111292532054732</v>
      </c>
      <c r="Z26">
        <f t="shared" si="6"/>
        <v>1.1543843739166921</v>
      </c>
      <c r="AA26">
        <f t="shared" si="6"/>
        <v>1.225015828002793</v>
      </c>
      <c r="AB26">
        <f t="shared" si="6"/>
        <v>1.3235274657438263</v>
      </c>
      <c r="AC26">
        <f t="shared" si="6"/>
        <v>1.3790106474405872</v>
      </c>
      <c r="AD26">
        <f t="shared" si="6"/>
        <v>1.4870425318935334</v>
      </c>
      <c r="AE26">
        <f t="shared" si="6"/>
        <v>1.6273757797927884</v>
      </c>
      <c r="AF26">
        <f t="shared" si="6"/>
        <v>1.7879639915786292</v>
      </c>
      <c r="AG26">
        <f t="shared" si="6"/>
        <v>1.9490221009886728</v>
      </c>
      <c r="AH26">
        <f t="shared" si="6"/>
        <v>2.1204182255890944</v>
      </c>
      <c r="AI26">
        <f t="shared" si="6"/>
        <v>2.3068868480914855</v>
      </c>
      <c r="AJ26">
        <f t="shared" si="6"/>
        <v>2.5097534371640227</v>
      </c>
      <c r="AK26">
        <f t="shared" si="6"/>
        <v>2.7304600225918096</v>
      </c>
      <c r="AL26">
        <f t="shared" si="6"/>
        <v>2.9705754456089322</v>
      </c>
      <c r="AM26">
        <f t="shared" si="6"/>
        <v>3.2318065106400926</v>
      </c>
      <c r="AN26">
        <f t="shared" si="6"/>
        <v>3.5160101177213767</v>
      </c>
      <c r="AO26">
        <f t="shared" si="6"/>
        <v>3.8252064618406258</v>
      </c>
      <c r="AP26">
        <f t="shared" si="6"/>
        <v>4.1615933930218567</v>
      </c>
      <c r="AQ26">
        <f t="shared" si="6"/>
        <v>4.5275620392290197</v>
      </c>
      <c r="AR26">
        <f t="shared" si="6"/>
        <v>4.9257138031408783</v>
      </c>
      <c r="AS26" t="s">
        <v>46</v>
      </c>
    </row>
    <row r="27" spans="1:45" x14ac:dyDescent="0.25">
      <c r="A27" s="3" t="s">
        <v>372</v>
      </c>
      <c r="B27" t="s">
        <v>0</v>
      </c>
      <c r="C27" t="s">
        <v>1</v>
      </c>
      <c r="D27">
        <f t="shared" ref="D27:AR27" si="7">D21/$X21</f>
        <v>8.8593871946382796E-2</v>
      </c>
      <c r="E27">
        <f t="shared" si="7"/>
        <v>8.7292615565285364E-2</v>
      </c>
      <c r="F27">
        <f t="shared" si="7"/>
        <v>9.7702666614064737E-2</v>
      </c>
      <c r="G27">
        <f t="shared" si="7"/>
        <v>0.10073893150329211</v>
      </c>
      <c r="H27">
        <f t="shared" si="7"/>
        <v>8.16538379138632E-2</v>
      </c>
      <c r="I27">
        <f t="shared" si="7"/>
        <v>0.12643874502996613</v>
      </c>
      <c r="J27">
        <f t="shared" si="7"/>
        <v>0.14574071468291125</v>
      </c>
      <c r="K27">
        <f t="shared" si="7"/>
        <v>0.1319690846496302</v>
      </c>
      <c r="L27">
        <f t="shared" si="7"/>
        <v>0.15072886414378472</v>
      </c>
      <c r="M27">
        <f t="shared" si="7"/>
        <v>7.0701596706293293E-2</v>
      </c>
      <c r="N27">
        <f t="shared" si="7"/>
        <v>0.15398200509652832</v>
      </c>
      <c r="O27">
        <f t="shared" si="7"/>
        <v>0.19918760546025144</v>
      </c>
      <c r="P27">
        <f t="shared" si="7"/>
        <v>0.2450201852476081</v>
      </c>
      <c r="Q27">
        <f t="shared" si="7"/>
        <v>0.33626383776394503</v>
      </c>
      <c r="R27">
        <f t="shared" si="7"/>
        <v>0.43580978492441769</v>
      </c>
      <c r="S27">
        <f t="shared" si="7"/>
        <v>0.56456245744122391</v>
      </c>
      <c r="T27">
        <f t="shared" si="7"/>
        <v>0.65002210800872851</v>
      </c>
      <c r="U27">
        <f t="shared" si="7"/>
        <v>0.70303395632449217</v>
      </c>
      <c r="V27">
        <f t="shared" si="7"/>
        <v>0.81955826593744008</v>
      </c>
      <c r="W27">
        <f t="shared" si="7"/>
        <v>0.88084647079594436</v>
      </c>
      <c r="X27">
        <f t="shared" si="7"/>
        <v>1</v>
      </c>
      <c r="Y27">
        <f t="shared" si="7"/>
        <v>1.111292532054732</v>
      </c>
      <c r="Z27">
        <f t="shared" si="7"/>
        <v>1.1543843739166921</v>
      </c>
      <c r="AA27">
        <f t="shared" si="7"/>
        <v>1.225015828002793</v>
      </c>
      <c r="AB27">
        <f t="shared" si="7"/>
        <v>1.3235274657438263</v>
      </c>
      <c r="AC27">
        <f t="shared" si="7"/>
        <v>1.3790106474405872</v>
      </c>
      <c r="AD27">
        <f t="shared" si="7"/>
        <v>1.4841195988764178</v>
      </c>
      <c r="AE27">
        <f t="shared" si="7"/>
        <v>1.5831052275039015</v>
      </c>
      <c r="AF27">
        <f t="shared" si="7"/>
        <v>1.672112759618652</v>
      </c>
      <c r="AG27">
        <f t="shared" si="7"/>
        <v>1.75219074249643</v>
      </c>
      <c r="AH27">
        <f t="shared" si="7"/>
        <v>1.8324714314647856</v>
      </c>
      <c r="AI27">
        <f t="shared" si="7"/>
        <v>1.9164303666793525</v>
      </c>
      <c r="AJ27">
        <f t="shared" si="7"/>
        <v>2.0042360755359669</v>
      </c>
      <c r="AK27">
        <f t="shared" si="7"/>
        <v>2.0960648069045718</v>
      </c>
      <c r="AL27">
        <f t="shared" si="7"/>
        <v>2.1921008849064876</v>
      </c>
      <c r="AM27">
        <f t="shared" si="7"/>
        <v>2.2925370789008142</v>
      </c>
      <c r="AN27">
        <f t="shared" si="7"/>
        <v>2.3975749904226151</v>
      </c>
      <c r="AO27">
        <f t="shared" si="7"/>
        <v>2.5074254578495756</v>
      </c>
      <c r="AP27">
        <f t="shared" si="7"/>
        <v>2.6223089796094041</v>
      </c>
      <c r="AQ27">
        <f t="shared" si="7"/>
        <v>2.7424561567774615</v>
      </c>
      <c r="AR27">
        <f t="shared" si="7"/>
        <v>2.8681081559530313</v>
      </c>
      <c r="AS27" t="s">
        <v>46</v>
      </c>
    </row>
    <row r="28" spans="1:45" x14ac:dyDescent="0.25">
      <c r="A28" t="s">
        <v>373</v>
      </c>
      <c r="B28" t="s">
        <v>0</v>
      </c>
      <c r="C28" t="s">
        <v>1</v>
      </c>
      <c r="D28">
        <f t="shared" ref="D28:AR28" si="8">D22/$X22</f>
        <v>8.8593871946382796E-2</v>
      </c>
      <c r="E28">
        <f t="shared" si="8"/>
        <v>8.7292615565285364E-2</v>
      </c>
      <c r="F28">
        <f t="shared" si="8"/>
        <v>9.7702666614064737E-2</v>
      </c>
      <c r="G28">
        <f t="shared" si="8"/>
        <v>0.10073893150329211</v>
      </c>
      <c r="H28">
        <f t="shared" si="8"/>
        <v>8.16538379138632E-2</v>
      </c>
      <c r="I28">
        <f t="shared" si="8"/>
        <v>0.12643874502996613</v>
      </c>
      <c r="J28">
        <f t="shared" si="8"/>
        <v>0.14574071468291125</v>
      </c>
      <c r="K28">
        <f t="shared" si="8"/>
        <v>0.1319690846496302</v>
      </c>
      <c r="L28">
        <f t="shared" si="8"/>
        <v>0.15072886414378472</v>
      </c>
      <c r="M28">
        <f t="shared" si="8"/>
        <v>7.0701596706293293E-2</v>
      </c>
      <c r="N28">
        <f t="shared" si="8"/>
        <v>0.15398200509652832</v>
      </c>
      <c r="O28">
        <f t="shared" si="8"/>
        <v>0.19918760546025144</v>
      </c>
      <c r="P28">
        <f t="shared" si="8"/>
        <v>0.2450201852476081</v>
      </c>
      <c r="Q28">
        <f t="shared" si="8"/>
        <v>0.33626383776394503</v>
      </c>
      <c r="R28">
        <f t="shared" si="8"/>
        <v>0.43580978492441769</v>
      </c>
      <c r="S28">
        <f t="shared" si="8"/>
        <v>0.56456245744122391</v>
      </c>
      <c r="T28">
        <f t="shared" si="8"/>
        <v>0.65002210800872851</v>
      </c>
      <c r="U28">
        <f t="shared" si="8"/>
        <v>0.70303395632449217</v>
      </c>
      <c r="V28">
        <f t="shared" si="8"/>
        <v>0.81955826593744008</v>
      </c>
      <c r="W28">
        <f t="shared" si="8"/>
        <v>0.88084647079594436</v>
      </c>
      <c r="X28">
        <f t="shared" si="8"/>
        <v>1</v>
      </c>
      <c r="Y28">
        <f t="shared" si="8"/>
        <v>1.111292532054732</v>
      </c>
      <c r="Z28">
        <f t="shared" si="8"/>
        <v>1.1543843739166921</v>
      </c>
      <c r="AA28">
        <f t="shared" si="8"/>
        <v>1.225015828002793</v>
      </c>
      <c r="AB28">
        <f t="shared" si="8"/>
        <v>1.3235274657438263</v>
      </c>
      <c r="AC28">
        <f t="shared" si="8"/>
        <v>1.3790106474405872</v>
      </c>
      <c r="AD28">
        <f t="shared" si="8"/>
        <v>1.4855810653849757</v>
      </c>
      <c r="AE28">
        <f t="shared" si="8"/>
        <v>1.605136167909925</v>
      </c>
      <c r="AF28">
        <f t="shared" si="8"/>
        <v>1.7292043023155699</v>
      </c>
      <c r="AG28">
        <f t="shared" si="8"/>
        <v>1.8482229551462361</v>
      </c>
      <c r="AH28">
        <f t="shared" si="8"/>
        <v>1.9715410265619364</v>
      </c>
      <c r="AI28">
        <f t="shared" si="8"/>
        <v>2.1030871890179212</v>
      </c>
      <c r="AJ28">
        <f t="shared" si="8"/>
        <v>2.2434104413867</v>
      </c>
      <c r="AK28">
        <f t="shared" si="8"/>
        <v>2.3930964131225951</v>
      </c>
      <c r="AL28">
        <f t="shared" si="8"/>
        <v>2.5527698083460395</v>
      </c>
      <c r="AM28">
        <f t="shared" si="8"/>
        <v>2.7230970130033105</v>
      </c>
      <c r="AN28">
        <f t="shared" si="8"/>
        <v>2.9047888759824994</v>
      </c>
      <c r="AO28">
        <f t="shared" si="8"/>
        <v>3.0986036757925142</v>
      </c>
      <c r="AP28">
        <f t="shared" si="8"/>
        <v>3.3053502851863454</v>
      </c>
      <c r="AQ28">
        <f t="shared" si="8"/>
        <v>3.5258915469359398</v>
      </c>
      <c r="AR28">
        <f t="shared" si="8"/>
        <v>3.7611478748472313</v>
      </c>
      <c r="AS28" t="s">
        <v>46</v>
      </c>
    </row>
    <row r="29" spans="1:45" x14ac:dyDescent="0.25">
      <c r="A29" s="3" t="s">
        <v>375</v>
      </c>
      <c r="B29" t="s">
        <v>0</v>
      </c>
      <c r="C29" t="s">
        <v>1</v>
      </c>
      <c r="D29">
        <f>D23/$X23</f>
        <v>8.8593871946382796E-2</v>
      </c>
      <c r="E29">
        <f t="shared" ref="E29:AR29" si="9">E23/$X23</f>
        <v>8.7292615565285364E-2</v>
      </c>
      <c r="F29">
        <f t="shared" si="9"/>
        <v>9.7702666614064737E-2</v>
      </c>
      <c r="G29">
        <f t="shared" si="9"/>
        <v>0.10073893150329211</v>
      </c>
      <c r="H29">
        <f t="shared" si="9"/>
        <v>8.16538379138632E-2</v>
      </c>
      <c r="I29">
        <f t="shared" si="9"/>
        <v>0.12643874502996613</v>
      </c>
      <c r="J29">
        <f t="shared" si="9"/>
        <v>0.14574071468291125</v>
      </c>
      <c r="K29">
        <f t="shared" si="9"/>
        <v>0.1319690846496302</v>
      </c>
      <c r="L29">
        <f t="shared" si="9"/>
        <v>0.15072886414378472</v>
      </c>
      <c r="M29">
        <f t="shared" si="9"/>
        <v>7.0701596706293293E-2</v>
      </c>
      <c r="N29">
        <f t="shared" si="9"/>
        <v>0.15398200509652832</v>
      </c>
      <c r="O29">
        <f t="shared" si="9"/>
        <v>0.19918760546025144</v>
      </c>
      <c r="P29">
        <f t="shared" si="9"/>
        <v>0.2450201852476081</v>
      </c>
      <c r="Q29">
        <f t="shared" si="9"/>
        <v>0.33626383776394503</v>
      </c>
      <c r="R29">
        <f t="shared" si="9"/>
        <v>0.43580978492441769</v>
      </c>
      <c r="S29">
        <f t="shared" si="9"/>
        <v>0.56456245744122391</v>
      </c>
      <c r="T29">
        <f t="shared" si="9"/>
        <v>0.65002210800872851</v>
      </c>
      <c r="U29">
        <f t="shared" si="9"/>
        <v>0.70303395632449217</v>
      </c>
      <c r="V29">
        <f t="shared" si="9"/>
        <v>0.81955826593744008</v>
      </c>
      <c r="W29">
        <f t="shared" si="9"/>
        <v>0.88084647079594436</v>
      </c>
      <c r="X29">
        <f t="shared" si="9"/>
        <v>1</v>
      </c>
      <c r="Y29">
        <f t="shared" si="9"/>
        <v>1.111292532054732</v>
      </c>
      <c r="Z29">
        <f t="shared" si="9"/>
        <v>1.1543843739166921</v>
      </c>
      <c r="AA29">
        <f t="shared" si="9"/>
        <v>1.225015828002793</v>
      </c>
      <c r="AB29">
        <f t="shared" si="9"/>
        <v>1.3235274657438263</v>
      </c>
      <c r="AC29">
        <f t="shared" si="9"/>
        <v>1.3790106474405872</v>
      </c>
      <c r="AD29">
        <f t="shared" si="9"/>
        <v>1.4134859136266016</v>
      </c>
      <c r="AE29">
        <f t="shared" si="9"/>
        <v>1.4488230614672664</v>
      </c>
      <c r="AF29">
        <f t="shared" si="9"/>
        <v>1.4850436380039478</v>
      </c>
      <c r="AG29">
        <f t="shared" si="9"/>
        <v>1.5221697289540466</v>
      </c>
      <c r="AH29">
        <f t="shared" si="9"/>
        <v>1.5602239721778974</v>
      </c>
      <c r="AI29">
        <f t="shared" si="9"/>
        <v>1.5992295714823446</v>
      </c>
      <c r="AJ29">
        <f t="shared" si="9"/>
        <v>1.6392103107694029</v>
      </c>
      <c r="AK29">
        <f t="shared" si="9"/>
        <v>1.680190568538638</v>
      </c>
      <c r="AL29">
        <f t="shared" si="9"/>
        <v>1.7221953327521038</v>
      </c>
      <c r="AM29">
        <f t="shared" si="9"/>
        <v>1.765250216070906</v>
      </c>
      <c r="AN29">
        <f t="shared" si="9"/>
        <v>1.8093814714726786</v>
      </c>
      <c r="AO29">
        <f t="shared" si="9"/>
        <v>1.8546160082594956</v>
      </c>
      <c r="AP29">
        <f t="shared" si="9"/>
        <v>1.9009814084659828</v>
      </c>
      <c r="AQ29">
        <f t="shared" si="9"/>
        <v>1.948505943677632</v>
      </c>
      <c r="AR29">
        <f t="shared" si="9"/>
        <v>1.9972185922695729</v>
      </c>
      <c r="AS29" t="s">
        <v>46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10</vt:i4>
      </vt:variant>
    </vt:vector>
  </HeadingPairs>
  <TitlesOfParts>
    <vt:vector size="10"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6.1_migmed_betas_chocs</vt:lpstr>
      <vt:lpstr>7_PIBCroissance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2022-03-01T15:51:39Z</dcterms:modified>
</cp:coreProperties>
</file>