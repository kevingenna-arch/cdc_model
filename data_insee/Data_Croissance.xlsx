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4"/>
    <sheet state="visible" name="Matlab" sheetId="2" r:id="rId5"/>
    <sheet state="visible" name="Série" sheetId="3" r:id="rId6"/>
    <sheet state="visible" name="Maddison" sheetId="4" r:id="rId7"/>
    <sheet state="visible" name="INSEE" sheetId="5" r:id="rId8"/>
    <sheet state="visible" name="COR" sheetId="6" r:id="rId9"/>
    <sheet state="visible" name="OCDE" sheetId="7" r:id="rId10"/>
    <sheet state="visible" name="World Bank" sheetId="8" r:id="rId11"/>
    <sheet state="visible" name="Comparaison" sheetId="9" r:id="rId12"/>
  </sheets>
  <definedNames/>
  <calcPr/>
  <extLst>
    <ext uri="GoogleSheetsCustomDataVersion1">
      <go:sheetsCustomData xmlns:go="http://customooxmlschemas.google.com/" r:id="rId13" roundtripDataSignature="AMtx7mi4F9GIRiefXe/T7Wv/rupUqhk8uA=="/>
    </ext>
  </extLst>
</workbook>
</file>

<file path=xl/sharedStrings.xml><?xml version="1.0" encoding="utf-8"?>
<sst xmlns="http://schemas.openxmlformats.org/spreadsheetml/2006/main" count="561" uniqueCount="146">
  <si>
    <t>Years</t>
  </si>
  <si>
    <t>Maddison</t>
  </si>
  <si>
    <t>INSEE</t>
  </si>
  <si>
    <t>INSEE %</t>
  </si>
  <si>
    <t>COR</t>
  </si>
  <si>
    <t>COR croissance effective</t>
  </si>
  <si>
    <t xml:space="preserve">Rythme annuel de croissance moyen </t>
  </si>
  <si>
    <t>2011-2021</t>
  </si>
  <si>
    <t>2022-2031</t>
  </si>
  <si>
    <t>2032-2040</t>
  </si>
  <si>
    <t>2041-2050</t>
  </si>
  <si>
    <t>2051-2060</t>
  </si>
  <si>
    <t>2061-2070</t>
  </si>
  <si>
    <t>COR scénario 1.8</t>
  </si>
  <si>
    <t>PIB scénario 1,8%</t>
  </si>
  <si>
    <t>COR scénario 1.5</t>
  </si>
  <si>
    <t>PIB scénario 1,5%</t>
  </si>
  <si>
    <t>COR scénario 1.3</t>
  </si>
  <si>
    <t>PIB scénario 1,3%</t>
  </si>
  <si>
    <t>COR scénario 1.0</t>
  </si>
  <si>
    <t>PIB scénario 1%</t>
  </si>
  <si>
    <t>Série Maddison x Insee x COR effectif</t>
  </si>
  <si>
    <t>Série Maddison x Insee x COR effectif x COR 1.8</t>
  </si>
  <si>
    <t>Série Maddison x Insee x COR effectif x COR 1.5</t>
  </si>
  <si>
    <t>Série Maddison x Insee x COR effectif x COR 1.3</t>
  </si>
  <si>
    <t>Série Maddison x Insee x COR effectif x COR 1</t>
  </si>
  <si>
    <t>Séie étendue de 2065 à 2095</t>
  </si>
  <si>
    <t>Table finale sous format Matlab</t>
  </si>
  <si>
    <t>Dy</t>
  </si>
  <si>
    <t>=</t>
  </si>
  <si>
    <t>[</t>
  </si>
  <si>
    <t>-0.0146878824969401</t>
  </si>
  <si>
    <t>0.119254658385093</t>
  </si>
  <si>
    <t>0.0310765815760272</t>
  </si>
  <si>
    <t>-0.189451022604952</t>
  </si>
  <si>
    <t>0.548472775564409</t>
  </si>
  <si>
    <t>0.152658662092625</t>
  </si>
  <si>
    <t>-0.0944940476190477</t>
  </si>
  <si>
    <t>0.14215283483977</t>
  </si>
  <si>
    <t>-0.530935251798561</t>
  </si>
  <si>
    <t>1.17791411042945</t>
  </si>
  <si>
    <t>0.293577164002928</t>
  </si>
  <si>
    <t>0.230097548898456</t>
  </si>
  <si>
    <t>0.372392390545822</t>
  </si>
  <si>
    <t>0.296035243701564</t>
  </si>
  <si>
    <t>0.29543318431718</t>
  </si>
  <si>
    <t>0.151373243900834</t>
  </si>
  <si>
    <t>0.0815539158785838</t>
  </si>
  <si>
    <t>0.165744923932472</t>
  </si>
  <si>
    <t>0.0747819983102735</t>
  </si>
  <si>
    <t>0.135271620145548</t>
  </si>
  <si>
    <t>0.111292532054732</t>
  </si>
  <si>
    <t>0.0387763263218237</t>
  </si>
  <si>
    <t>0.0611853864986551</t>
  </si>
  <si>
    <t>0.0804166244134512</t>
  </si>
  <si>
    <t>0.0419206878080003</t>
  </si>
  <si>
    <t>0.078340138021016</t>
  </si>
  <si>
    <t>0.0943707021752505</t>
  </si>
  <si>
    <t>0.0986792440810986</t>
  </si>
  <si>
    <t>0.0900790564958986</t>
  </si>
  <si>
    <t>0.0879395490248562</t>
  </si>
  <si>
    <t>];</t>
  </si>
  <si>
    <t>0.0847334423997437</t>
  </si>
  <si>
    <t>0.0826012887285761</t>
  </si>
  <si>
    <t>0.0741020066466562</t>
  </si>
  <si>
    <t>0.0719876326178244</t>
  </si>
  <si>
    <t>0.0762205510384641</t>
  </si>
  <si>
    <t>0.0762205510384639</t>
  </si>
  <si>
    <t>0.0635551257943039</t>
  </si>
  <si>
    <t>0.0614573839288319</t>
  </si>
  <si>
    <t>0.0666965308607357</t>
  </si>
  <si>
    <t>0.0562233833660506</t>
  </si>
  <si>
    <t>0.0478903007091704</t>
  </si>
  <si>
    <t>0.0458173228640484</t>
  </si>
  <si>
    <t xml:space="preserve">Série Maddison x Insee </t>
  </si>
  <si>
    <t>Les données sur le taux de croissance du PIB ont été tirées de Maddison (2001) pour la période antérieure à 1950 et des statistiques de l’INSEE après 1950 et jusqu’en 2010. Au delà, nous reproduisons le rapport du Conseil d’Orientation des Retraites (2021).</t>
  </si>
  <si>
    <t>Série</t>
  </si>
  <si>
    <t>Série + 1</t>
  </si>
  <si>
    <t>Données INSEE</t>
  </si>
  <si>
    <t>Série quinquennal</t>
  </si>
  <si>
    <t>Quiquennal - 1</t>
  </si>
  <si>
    <t>en %</t>
  </si>
  <si>
    <t>Source : http://www.ggdc.net/maddison/oriindex.htm</t>
  </si>
  <si>
    <t>GDP</t>
  </si>
  <si>
    <t>France</t>
  </si>
  <si>
    <t>GDP per capita</t>
  </si>
  <si>
    <t>Transformation en taux de croissance</t>
  </si>
  <si>
    <t xml:space="preserve">France </t>
  </si>
  <si>
    <t>Source : https://www.insee.fr/fr/statistiques/series/110309498</t>
  </si>
  <si>
    <t>INSEE Produit intérieur brut et ses composantes</t>
  </si>
  <si>
    <t>Indicateur</t>
  </si>
  <si>
    <t>2018 (r)</t>
  </si>
  <si>
    <t>2019 (r)</t>
  </si>
  <si>
    <t>Produit intérieur brut (PIB) en milliards d'euros 2014</t>
  </si>
  <si>
    <t>Produit intérieur brut (PIB) par rapport à l'année précédente en volume en %</t>
  </si>
  <si>
    <t>Produit intérieur brut évolution en %, contributions en points</t>
  </si>
  <si>
    <t>Source : https://www.cor-retraites.fr/node/562</t>
  </si>
  <si>
    <t>COR -Juin 2021</t>
  </si>
  <si>
    <t>Tableau 1.2 – Croissance du PIB et écart de production à l’horizon 2027</t>
  </si>
  <si>
    <t>Croissance effective</t>
  </si>
  <si>
    <t>Croissance potentielle</t>
  </si>
  <si>
    <t>Figure 1.14 - Prévisions pour 2021 et 2022 du Gouvernement, des organismes internationaux et des instituts de conjoncture</t>
  </si>
  <si>
    <t>PIB</t>
  </si>
  <si>
    <t>Moyenne</t>
  </si>
  <si>
    <t>Min</t>
  </si>
  <si>
    <t>Max</t>
  </si>
  <si>
    <t>Gouvernement</t>
  </si>
  <si>
    <t>Population active</t>
  </si>
  <si>
    <t>Source : https://data.oecd.org/gdp/gross-domestic-product-gdp.htm#indicator-chart</t>
  </si>
  <si>
    <t>INDICATOR</t>
  </si>
  <si>
    <t>MEASURE</t>
  </si>
  <si>
    <t>MLN_USD</t>
  </si>
  <si>
    <t>TIME</t>
  </si>
  <si>
    <t>Value</t>
  </si>
  <si>
    <t>%</t>
  </si>
  <si>
    <t>Data from Database: Indicateurs du développement dans le monde</t>
  </si>
  <si>
    <t>Source : World bank</t>
  </si>
  <si>
    <t>Last Updated: 07/30/2021</t>
  </si>
  <si>
    <t>Series Name</t>
  </si>
  <si>
    <t>Series Code</t>
  </si>
  <si>
    <t>Country Name</t>
  </si>
  <si>
    <t>Country Code</t>
  </si>
  <si>
    <t>Croissance du PIB (% annuel)</t>
  </si>
  <si>
    <t>NY.GDP.MKTP.KD.ZG</t>
  </si>
  <si>
    <t>FRA</t>
  </si>
  <si>
    <t>..</t>
  </si>
  <si>
    <t>Croissance du PIB par habitant (% annuel)</t>
  </si>
  <si>
    <t>NY.GDP.PCAP.KD.ZG</t>
  </si>
  <si>
    <t>PIB ($ US courants)</t>
  </si>
  <si>
    <t>NY.GDP.MKTP.CD</t>
  </si>
  <si>
    <t>PIB, ($ PPA internationaux constants de 2011)</t>
  </si>
  <si>
    <t>NY.GDP.MKTP.PP.KD</t>
  </si>
  <si>
    <t>PIB, ($ PPA internationaux courants)</t>
  </si>
  <si>
    <t>NY.GDP.MKTP.PP.CD</t>
  </si>
  <si>
    <t>OCDE</t>
  </si>
  <si>
    <t>WB</t>
  </si>
  <si>
    <t>WB %</t>
  </si>
  <si>
    <t>Différence INSEE x Maddison</t>
  </si>
  <si>
    <t>Différence OCDExMaddison</t>
  </si>
  <si>
    <t>Différence WBxMaddison</t>
  </si>
  <si>
    <t>Différence BDFxMaddison</t>
  </si>
  <si>
    <t>Différence INSEExOCDE</t>
  </si>
  <si>
    <t>Différence INSEExWB</t>
  </si>
  <si>
    <t>Différence INSEExBDF</t>
  </si>
  <si>
    <t>Différence CORxINSEE</t>
  </si>
  <si>
    <t>Différence CORxOCDE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</si>
</sst>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00"/>
    <numFmt numFmtId="166" formatCode="0.00000"/>
    <numFmt numFmtId="167" formatCode="_(* #,##0_);_(* \(#,##0\);_(* &quot;-&quot;??_);_(@_)"/>
    <numFmt numFmtId="168" formatCode="0.0000%"/>
    <numFmt numFmtId="169" formatCode="0.00000%"/>
    <numFmt numFmtId="170" formatCode="#,##0.0"/>
    <numFmt numFmtId="171" formatCode="0.0"/>
    <numFmt numFmtId="172" formatCode="_-* #,##0.0_-;\-* #,##0.0_-;_-* &quot;-&quot;??_-;_-@"/>
    <numFmt numFmtId="173" formatCode="0.0000"/>
    <numFmt numFmtId="174" formatCode="0.000000"/>
  </numFmts>
  <fonts count="18">
    <font>
      <sz val="11.0"/>
      <color theme="1"/>
      <name val="Arial"/>
    </font>
    <font>
      <b/>
      <sz val="11.0"/>
      <color rgb="FF548135"/>
      <name val="Calibri"/>
    </font>
    <font>
      <b/>
      <sz val="10.0"/>
      <color rgb="FF548135"/>
      <name val="Arial"/>
    </font>
    <font>
      <sz val="11.0"/>
      <color theme="1"/>
      <name val="Calibri"/>
    </font>
    <font>
      <sz val="10.0"/>
      <color theme="1"/>
      <name val="Arial"/>
    </font>
    <font>
      <color theme="1"/>
      <name val="Calibri"/>
    </font>
    <font>
      <b/>
      <sz val="12.0"/>
      <color theme="0"/>
      <name val="Times New Roman"/>
    </font>
    <font>
      <sz val="12.0"/>
      <color theme="1"/>
      <name val="Times New Roman"/>
    </font>
    <font>
      <b/>
      <sz val="11.0"/>
      <color rgb="FFFF0000"/>
      <name val="Calibri"/>
    </font>
    <font>
      <b/>
      <sz val="11.0"/>
      <color rgb="FFFF0000"/>
    </font>
    <font>
      <b/>
      <sz val="11.0"/>
      <color rgb="FF548135"/>
    </font>
    <font>
      <sz val="11.0"/>
      <color theme="1"/>
    </font>
    <font>
      <b/>
      <sz val="10.0"/>
      <color rgb="FF008000"/>
      <name val="Arial"/>
    </font>
    <font>
      <b/>
      <sz val="10.0"/>
      <color theme="1"/>
      <name val="Arial"/>
    </font>
    <font>
      <b/>
      <sz val="12.0"/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/>
  </fonts>
  <fills count="6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B4C6E7"/>
        <bgColor rgb="FFB4C6E7"/>
      </patternFill>
    </fill>
    <fill>
      <patternFill patternType="solid">
        <fgColor rgb="FF00FF00"/>
        <bgColor rgb="FF00FF00"/>
      </patternFill>
    </fill>
    <fill>
      <patternFill patternType="solid">
        <fgColor rgb="FFD9E2F3"/>
        <bgColor rgb="FFD9E2F3"/>
      </patternFill>
    </fill>
  </fills>
  <borders count="31">
    <border/>
    <border>
      <left/>
      <right/>
      <top/>
      <bottom/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/>
      <bottom style="dotted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0" xfId="0" applyFont="1"/>
    <xf borderId="0" fillId="0" fontId="3" numFmtId="0" xfId="0" applyFont="1"/>
    <xf borderId="0" fillId="0" fontId="3" numFmtId="10" xfId="0" applyFont="1" applyNumberFormat="1"/>
    <xf borderId="0" fillId="0" fontId="4" numFmtId="2" xfId="0" applyAlignment="1" applyFont="1" applyNumberFormat="1">
      <alignment vertical="center"/>
    </xf>
    <xf borderId="0" fillId="0" fontId="5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0" fillId="0" fontId="7" numFmtId="0" xfId="0" applyFont="1"/>
    <xf borderId="0" fillId="0" fontId="7" numFmtId="164" xfId="0" applyAlignment="1" applyFont="1" applyNumberFormat="1">
      <alignment horizontal="center" vertical="center"/>
    </xf>
    <xf borderId="0" fillId="0" fontId="7" numFmtId="164" xfId="0" applyAlignment="1" applyFont="1" applyNumberFormat="1">
      <alignment horizontal="center"/>
    </xf>
    <xf borderId="1" fillId="3" fontId="7" numFmtId="0" xfId="0" applyBorder="1" applyFill="1" applyFont="1"/>
    <xf borderId="1" fillId="3" fontId="7" numFmtId="164" xfId="0" applyAlignment="1" applyBorder="1" applyFont="1" applyNumberFormat="1">
      <alignment horizontal="center"/>
    </xf>
    <xf borderId="0" fillId="0" fontId="1" numFmtId="1" xfId="0" applyFont="1" applyNumberFormat="1"/>
    <xf borderId="0" fillId="0" fontId="2" numFmtId="1" xfId="0" applyFont="1" applyNumberFormat="1"/>
    <xf borderId="0" fillId="0" fontId="3" numFmtId="165" xfId="0" applyFont="1" applyNumberFormat="1"/>
    <xf borderId="0" fillId="0" fontId="3" numFmtId="166" xfId="0" applyFont="1" applyNumberFormat="1"/>
    <xf borderId="0" fillId="0" fontId="3" numFmtId="2" xfId="0" applyFont="1" applyNumberFormat="1"/>
    <xf borderId="0" fillId="0" fontId="8" numFmtId="0" xfId="0" applyFont="1"/>
    <xf borderId="0" fillId="4" fontId="9" numFmtId="0" xfId="0" applyFill="1" applyFont="1"/>
    <xf borderId="0" fillId="4" fontId="10" numFmtId="0" xfId="0" applyFont="1"/>
    <xf borderId="0" fillId="4" fontId="11" numFmtId="0" xfId="0" applyFont="1"/>
    <xf borderId="0" fillId="4" fontId="11" numFmtId="0" xfId="0" applyAlignment="1" applyFont="1">
      <alignment readingOrder="0"/>
    </xf>
    <xf borderId="0" fillId="0" fontId="6" numFmtId="0" xfId="0" applyAlignment="1" applyFont="1">
      <alignment horizontal="center" vertical="center"/>
    </xf>
    <xf borderId="0" fillId="0" fontId="7" numFmtId="164" xfId="0" applyAlignment="1" applyFont="1" applyNumberFormat="1">
      <alignment vertical="center"/>
    </xf>
    <xf borderId="0" fillId="0" fontId="7" numFmtId="164" xfId="0" applyAlignment="1" applyFont="1" applyNumberFormat="1">
      <alignment horizontal="center" shrinkToFit="0" vertical="center" wrapText="1"/>
    </xf>
    <xf borderId="0" fillId="0" fontId="3" numFmtId="9" xfId="0" applyFont="1" applyNumberFormat="1"/>
    <xf borderId="0" fillId="0" fontId="12" numFmtId="0" xfId="0" applyAlignment="1" applyFont="1">
      <alignment horizontal="left"/>
    </xf>
    <xf borderId="0" fillId="0" fontId="12" numFmtId="0" xfId="0" applyFont="1"/>
    <xf borderId="0" fillId="0" fontId="4" numFmtId="0" xfId="0" applyAlignment="1" applyFont="1">
      <alignment horizontal="left"/>
    </xf>
    <xf borderId="0" fillId="0" fontId="4" numFmtId="3" xfId="0" applyFont="1" applyNumberFormat="1"/>
    <xf borderId="0" fillId="0" fontId="4" numFmtId="167" xfId="0" applyFont="1" applyNumberFormat="1"/>
    <xf borderId="0" fillId="0" fontId="3" numFmtId="168" xfId="0" applyFont="1" applyNumberFormat="1"/>
    <xf borderId="0" fillId="0" fontId="3" numFmtId="169" xfId="0" applyFont="1" applyNumberFormat="1"/>
    <xf borderId="0" fillId="0" fontId="4" numFmtId="0" xfId="0" applyAlignment="1" applyFont="1">
      <alignment vertical="center"/>
    </xf>
    <xf borderId="0" fillId="0" fontId="13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0" fillId="0" fontId="3" numFmtId="170" xfId="0" applyAlignment="1" applyFont="1" applyNumberFormat="1">
      <alignment vertical="center"/>
    </xf>
    <xf borderId="0" fillId="0" fontId="3" numFmtId="170" xfId="0" applyAlignment="1" applyFont="1" applyNumberFormat="1">
      <alignment horizontal="right" vertical="center"/>
    </xf>
    <xf borderId="0" fillId="0" fontId="4" numFmtId="171" xfId="0" applyAlignment="1" applyFont="1" applyNumberFormat="1">
      <alignment vertical="center"/>
    </xf>
    <xf borderId="0" fillId="0" fontId="4" numFmtId="0" xfId="0" applyFont="1"/>
    <xf borderId="0" fillId="0" fontId="14" numFmtId="0" xfId="0" applyAlignment="1" applyFont="1">
      <alignment horizontal="left" vertical="center"/>
    </xf>
    <xf borderId="2" fillId="5" fontId="7" numFmtId="164" xfId="0" applyAlignment="1" applyBorder="1" applyFill="1" applyFont="1" applyNumberFormat="1">
      <alignment horizontal="center" shrinkToFit="0" vertical="center" wrapText="1"/>
    </xf>
    <xf borderId="3" fillId="5" fontId="7" numFmtId="164" xfId="0" applyAlignment="1" applyBorder="1" applyFont="1" applyNumberFormat="1">
      <alignment horizontal="center" shrinkToFit="0" vertical="center" wrapText="1"/>
    </xf>
    <xf borderId="4" fillId="5" fontId="7" numFmtId="164" xfId="0" applyAlignment="1" applyBorder="1" applyFont="1" applyNumberFormat="1">
      <alignment horizontal="center" shrinkToFit="0" vertical="center" wrapText="1"/>
    </xf>
    <xf borderId="0" fillId="0" fontId="14" numFmtId="0" xfId="0" applyFont="1"/>
    <xf borderId="0" fillId="0" fontId="15" numFmtId="0" xfId="0" applyAlignment="1" applyFont="1">
      <alignment horizontal="center"/>
    </xf>
    <xf borderId="0" fillId="0" fontId="16" numFmtId="0" xfId="0" applyFont="1"/>
    <xf borderId="5" fillId="0" fontId="16" numFmtId="0" xfId="0" applyAlignment="1" applyBorder="1" applyFont="1">
      <alignment horizontal="center"/>
    </xf>
    <xf borderId="6" fillId="0" fontId="16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8" fillId="2" fontId="6" numFmtId="0" xfId="0" applyAlignment="1" applyBorder="1" applyFont="1">
      <alignment horizontal="center" shrinkToFit="0" vertical="center" wrapText="1"/>
    </xf>
    <xf borderId="9" fillId="2" fontId="6" numFmtId="0" xfId="0" applyAlignment="1" applyBorder="1" applyFont="1">
      <alignment horizontal="center" shrinkToFit="0" vertical="center" wrapText="1"/>
    </xf>
    <xf borderId="10" fillId="2" fontId="6" numFmtId="0" xfId="0" applyAlignment="1" applyBorder="1" applyFont="1">
      <alignment horizontal="center" shrinkToFit="0" vertical="center" wrapText="1"/>
    </xf>
    <xf borderId="11" fillId="2" fontId="6" numFmtId="0" xfId="0" applyAlignment="1" applyBorder="1" applyFont="1">
      <alignment horizontal="center" shrinkToFit="0" vertical="center" wrapText="1"/>
    </xf>
    <xf borderId="12" fillId="0" fontId="16" numFmtId="0" xfId="0" applyBorder="1" applyFont="1"/>
    <xf borderId="5" fillId="0" fontId="16" numFmtId="172" xfId="0" applyAlignment="1" applyBorder="1" applyFont="1" applyNumberFormat="1">
      <alignment horizontal="right"/>
    </xf>
    <xf borderId="6" fillId="0" fontId="16" numFmtId="172" xfId="0" applyAlignment="1" applyBorder="1" applyFont="1" applyNumberFormat="1">
      <alignment horizontal="right"/>
    </xf>
    <xf borderId="7" fillId="0" fontId="16" numFmtId="172" xfId="0" applyAlignment="1" applyBorder="1" applyFont="1" applyNumberFormat="1">
      <alignment horizontal="right"/>
    </xf>
    <xf borderId="13" fillId="0" fontId="7" numFmtId="0" xfId="0" applyBorder="1" applyFont="1"/>
    <xf borderId="5" fillId="0" fontId="7" numFmtId="164" xfId="0" applyAlignment="1" applyBorder="1" applyFont="1" applyNumberFormat="1">
      <alignment horizontal="center" vertical="center"/>
    </xf>
    <xf borderId="14" fillId="0" fontId="7" numFmtId="164" xfId="0" applyAlignment="1" applyBorder="1" applyFont="1" applyNumberFormat="1">
      <alignment horizontal="center"/>
    </xf>
    <xf borderId="15" fillId="0" fontId="7" numFmtId="164" xfId="0" applyAlignment="1" applyBorder="1" applyFont="1" applyNumberFormat="1">
      <alignment horizontal="center"/>
    </xf>
    <xf borderId="16" fillId="0" fontId="16" numFmtId="0" xfId="0" applyBorder="1" applyFont="1"/>
    <xf borderId="17" fillId="0" fontId="16" numFmtId="172" xfId="0" applyAlignment="1" applyBorder="1" applyFont="1" applyNumberFormat="1">
      <alignment horizontal="right"/>
    </xf>
    <xf borderId="18" fillId="0" fontId="16" numFmtId="172" xfId="0" applyAlignment="1" applyBorder="1" applyFont="1" applyNumberFormat="1">
      <alignment horizontal="right"/>
    </xf>
    <xf borderId="19" fillId="0" fontId="16" numFmtId="172" xfId="0" applyAlignment="1" applyBorder="1" applyFont="1" applyNumberFormat="1">
      <alignment horizontal="right"/>
    </xf>
    <xf borderId="20" fillId="3" fontId="7" numFmtId="0" xfId="0" applyBorder="1" applyFont="1"/>
    <xf borderId="17" fillId="0" fontId="17" numFmtId="0" xfId="0" applyBorder="1" applyFont="1"/>
    <xf borderId="21" fillId="3" fontId="7" numFmtId="164" xfId="0" applyAlignment="1" applyBorder="1" applyFont="1" applyNumberFormat="1">
      <alignment horizontal="center"/>
    </xf>
    <xf borderId="22" fillId="3" fontId="7" numFmtId="164" xfId="0" applyAlignment="1" applyBorder="1" applyFont="1" applyNumberFormat="1">
      <alignment horizontal="center"/>
    </xf>
    <xf borderId="20" fillId="0" fontId="7" numFmtId="0" xfId="0" applyBorder="1" applyFont="1"/>
    <xf borderId="21" fillId="0" fontId="7" numFmtId="164" xfId="0" applyAlignment="1" applyBorder="1" applyFont="1" applyNumberFormat="1">
      <alignment horizontal="center"/>
    </xf>
    <xf borderId="22" fillId="0" fontId="7" numFmtId="164" xfId="0" applyAlignment="1" applyBorder="1" applyFont="1" applyNumberFormat="1">
      <alignment horizontal="center"/>
    </xf>
    <xf borderId="23" fillId="0" fontId="16" numFmtId="0" xfId="0" applyBorder="1" applyFont="1"/>
    <xf borderId="24" fillId="0" fontId="16" numFmtId="172" xfId="0" applyAlignment="1" applyBorder="1" applyFont="1" applyNumberFormat="1">
      <alignment horizontal="right"/>
    </xf>
    <xf borderId="25" fillId="0" fontId="16" numFmtId="172" xfId="0" applyAlignment="1" applyBorder="1" applyFont="1" applyNumberFormat="1">
      <alignment horizontal="right"/>
    </xf>
    <xf borderId="26" fillId="0" fontId="16" numFmtId="172" xfId="0" applyAlignment="1" applyBorder="1" applyFont="1" applyNumberFormat="1">
      <alignment horizontal="right"/>
    </xf>
    <xf borderId="27" fillId="3" fontId="7" numFmtId="0" xfId="0" applyBorder="1" applyFont="1"/>
    <xf borderId="28" fillId="0" fontId="17" numFmtId="0" xfId="0" applyBorder="1" applyFont="1"/>
    <xf borderId="29" fillId="3" fontId="7" numFmtId="164" xfId="0" applyAlignment="1" applyBorder="1" applyFont="1" applyNumberFormat="1">
      <alignment horizontal="center"/>
    </xf>
    <xf borderId="30" fillId="3" fontId="7" numFmtId="164" xfId="0" applyAlignment="1" applyBorder="1" applyFont="1" applyNumberFormat="1">
      <alignment horizontal="center"/>
    </xf>
    <xf borderId="23" fillId="0" fontId="7" numFmtId="0" xfId="0" applyBorder="1" applyFont="1"/>
    <xf borderId="24" fillId="0" fontId="7" numFmtId="164" xfId="0" applyAlignment="1" applyBorder="1" applyFont="1" applyNumberFormat="1">
      <alignment horizontal="center"/>
    </xf>
    <xf borderId="25" fillId="0" fontId="7" numFmtId="164" xfId="0" applyAlignment="1" applyBorder="1" applyFont="1" applyNumberFormat="1">
      <alignment horizontal="center"/>
    </xf>
    <xf borderId="26" fillId="0" fontId="7" numFmtId="164" xfId="0" applyAlignment="1" applyBorder="1" applyFont="1" applyNumberFormat="1">
      <alignment horizontal="center"/>
    </xf>
    <xf borderId="0" fillId="0" fontId="6" numFmtId="0" xfId="0" applyAlignment="1" applyFont="1">
      <alignment horizontal="center" shrinkToFit="0" vertical="center" wrapText="1"/>
    </xf>
    <xf borderId="0" fillId="0" fontId="3" numFmtId="49" xfId="0" applyFont="1" applyNumberFormat="1"/>
    <xf borderId="0" fillId="0" fontId="3" numFmtId="173" xfId="0" applyFont="1" applyNumberFormat="1"/>
    <xf borderId="0" fillId="0" fontId="3" numFmtId="164" xfId="0" applyFont="1" applyNumberFormat="1"/>
    <xf borderId="0" fillId="0" fontId="3" numFmtId="17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63"/>
    <col customWidth="1" min="2" max="2" width="11.13"/>
    <col customWidth="1" min="3" max="200" width="9.38"/>
    <col customWidth="1" min="201" max="201" width="18.25"/>
    <col customWidth="1" min="202" max="253" width="9.38"/>
  </cols>
  <sheetData>
    <row r="1" ht="14.25" customHeight="1"/>
    <row r="2" ht="14.25" customHeight="1">
      <c r="A2" s="1" t="s">
        <v>0</v>
      </c>
      <c r="B2" s="2"/>
      <c r="C2" s="3">
        <v>1820.0</v>
      </c>
      <c r="D2" s="3">
        <v>1821.0</v>
      </c>
      <c r="E2" s="3">
        <v>1822.0</v>
      </c>
      <c r="F2" s="3">
        <v>1823.0</v>
      </c>
      <c r="G2" s="3">
        <v>1824.0</v>
      </c>
      <c r="H2" s="3">
        <v>1825.0</v>
      </c>
      <c r="I2" s="3">
        <v>1826.0</v>
      </c>
      <c r="J2" s="3">
        <v>1827.0</v>
      </c>
      <c r="K2" s="3">
        <v>1828.0</v>
      </c>
      <c r="L2" s="3">
        <v>1829.0</v>
      </c>
      <c r="M2" s="3">
        <v>1830.0</v>
      </c>
      <c r="N2" s="3">
        <v>1831.0</v>
      </c>
      <c r="O2" s="3">
        <v>1832.0</v>
      </c>
      <c r="P2" s="3">
        <v>1833.0</v>
      </c>
      <c r="Q2" s="3">
        <v>1834.0</v>
      </c>
      <c r="R2" s="3">
        <v>1835.0</v>
      </c>
      <c r="S2" s="3">
        <v>1836.0</v>
      </c>
      <c r="T2" s="3">
        <v>1837.0</v>
      </c>
      <c r="U2" s="3">
        <v>1838.0</v>
      </c>
      <c r="V2" s="3">
        <v>1839.0</v>
      </c>
      <c r="W2" s="3">
        <v>1840.0</v>
      </c>
      <c r="X2" s="3">
        <v>1841.0</v>
      </c>
      <c r="Y2" s="3">
        <v>1842.0</v>
      </c>
      <c r="Z2" s="3">
        <v>1843.0</v>
      </c>
      <c r="AA2" s="3">
        <v>1844.0</v>
      </c>
      <c r="AB2" s="3">
        <v>1845.0</v>
      </c>
      <c r="AC2" s="3">
        <v>1846.0</v>
      </c>
      <c r="AD2" s="3">
        <v>1847.0</v>
      </c>
      <c r="AE2" s="3">
        <v>1848.0</v>
      </c>
      <c r="AF2" s="3">
        <v>1849.0</v>
      </c>
      <c r="AG2" s="3">
        <v>1850.0</v>
      </c>
      <c r="AH2" s="3">
        <v>1851.0</v>
      </c>
      <c r="AI2" s="3">
        <v>1852.0</v>
      </c>
      <c r="AJ2" s="3">
        <v>1853.0</v>
      </c>
      <c r="AK2" s="3">
        <v>1854.0</v>
      </c>
      <c r="AL2" s="3">
        <v>1855.0</v>
      </c>
      <c r="AM2" s="3">
        <v>1856.0</v>
      </c>
      <c r="AN2" s="3">
        <v>1857.0</v>
      </c>
      <c r="AO2" s="3">
        <v>1858.0</v>
      </c>
      <c r="AP2" s="3">
        <v>1859.0</v>
      </c>
      <c r="AQ2" s="3">
        <v>1860.0</v>
      </c>
      <c r="AR2" s="3">
        <v>1861.0</v>
      </c>
      <c r="AS2" s="3">
        <v>1862.0</v>
      </c>
      <c r="AT2" s="3">
        <v>1863.0</v>
      </c>
      <c r="AU2" s="3">
        <v>1864.0</v>
      </c>
      <c r="AV2" s="3">
        <v>1865.0</v>
      </c>
      <c r="AW2" s="3">
        <v>1866.0</v>
      </c>
      <c r="AX2" s="3">
        <v>1867.0</v>
      </c>
      <c r="AY2" s="3">
        <v>1868.0</v>
      </c>
      <c r="AZ2" s="3">
        <v>1869.0</v>
      </c>
      <c r="BA2" s="3">
        <v>1870.0</v>
      </c>
      <c r="BB2" s="3">
        <v>1871.0</v>
      </c>
      <c r="BC2" s="3">
        <v>1872.0</v>
      </c>
      <c r="BD2" s="3">
        <v>1873.0</v>
      </c>
      <c r="BE2" s="3">
        <v>1874.0</v>
      </c>
      <c r="BF2" s="3">
        <v>1875.0</v>
      </c>
      <c r="BG2" s="3">
        <v>1876.0</v>
      </c>
      <c r="BH2" s="3">
        <v>1877.0</v>
      </c>
      <c r="BI2" s="3">
        <v>1878.0</v>
      </c>
      <c r="BJ2" s="3">
        <v>1879.0</v>
      </c>
      <c r="BK2" s="3">
        <v>1880.0</v>
      </c>
      <c r="BL2" s="3">
        <v>1881.0</v>
      </c>
      <c r="BM2" s="3">
        <v>1882.0</v>
      </c>
      <c r="BN2" s="3">
        <v>1883.0</v>
      </c>
      <c r="BO2" s="3">
        <v>1884.0</v>
      </c>
      <c r="BP2" s="3">
        <v>1885.0</v>
      </c>
      <c r="BQ2" s="3">
        <v>1886.0</v>
      </c>
      <c r="BR2" s="3">
        <v>1887.0</v>
      </c>
      <c r="BS2" s="3">
        <v>1888.0</v>
      </c>
      <c r="BT2" s="3">
        <v>1889.0</v>
      </c>
      <c r="BU2" s="3">
        <v>1890.0</v>
      </c>
      <c r="BV2" s="3">
        <v>1891.0</v>
      </c>
      <c r="BW2" s="3">
        <v>1892.0</v>
      </c>
      <c r="BX2" s="3">
        <v>1893.0</v>
      </c>
      <c r="BY2" s="3">
        <v>1894.0</v>
      </c>
      <c r="BZ2" s="3">
        <v>1895.0</v>
      </c>
      <c r="CA2" s="3">
        <v>1896.0</v>
      </c>
      <c r="CB2" s="3">
        <v>1897.0</v>
      </c>
      <c r="CC2" s="3">
        <v>1898.0</v>
      </c>
      <c r="CD2" s="3">
        <v>1899.0</v>
      </c>
      <c r="CE2" s="3">
        <v>1900.0</v>
      </c>
      <c r="CF2" s="3">
        <v>1901.0</v>
      </c>
      <c r="CG2" s="3">
        <v>1902.0</v>
      </c>
      <c r="CH2" s="3">
        <v>1903.0</v>
      </c>
      <c r="CI2" s="3">
        <v>1904.0</v>
      </c>
      <c r="CJ2" s="3">
        <v>1905.0</v>
      </c>
      <c r="CK2" s="3">
        <v>1906.0</v>
      </c>
      <c r="CL2" s="3">
        <v>1907.0</v>
      </c>
      <c r="CM2" s="3">
        <v>1908.0</v>
      </c>
      <c r="CN2" s="3">
        <v>1909.0</v>
      </c>
      <c r="CO2" s="3">
        <v>1910.0</v>
      </c>
      <c r="CP2" s="3">
        <v>1911.0</v>
      </c>
      <c r="CQ2" s="3">
        <v>1912.0</v>
      </c>
      <c r="CR2" s="3">
        <v>1913.0</v>
      </c>
      <c r="CS2" s="3">
        <v>1914.0</v>
      </c>
      <c r="CT2" s="3">
        <v>1915.0</v>
      </c>
      <c r="CU2" s="3">
        <v>1916.0</v>
      </c>
      <c r="CV2" s="3">
        <v>1917.0</v>
      </c>
      <c r="CW2" s="3">
        <v>1918.0</v>
      </c>
      <c r="CX2" s="3">
        <v>1919.0</v>
      </c>
      <c r="CY2" s="3">
        <v>1920.0</v>
      </c>
      <c r="CZ2" s="3">
        <v>1921.0</v>
      </c>
      <c r="DA2" s="3">
        <v>1922.0</v>
      </c>
      <c r="DB2" s="3">
        <v>1923.0</v>
      </c>
      <c r="DC2" s="3">
        <v>1924.0</v>
      </c>
      <c r="DD2" s="3">
        <v>1925.0</v>
      </c>
      <c r="DE2" s="3">
        <v>1926.0</v>
      </c>
      <c r="DF2" s="3">
        <v>1927.0</v>
      </c>
      <c r="DG2" s="3">
        <v>1928.0</v>
      </c>
      <c r="DH2" s="3">
        <v>1929.0</v>
      </c>
      <c r="DI2" s="3">
        <v>1930.0</v>
      </c>
      <c r="DJ2" s="3">
        <v>1931.0</v>
      </c>
      <c r="DK2" s="3">
        <v>1932.0</v>
      </c>
      <c r="DL2" s="3">
        <v>1933.0</v>
      </c>
      <c r="DM2" s="3">
        <v>1934.0</v>
      </c>
      <c r="DN2" s="3">
        <v>1935.0</v>
      </c>
      <c r="DO2" s="3">
        <v>1936.0</v>
      </c>
      <c r="DP2" s="3">
        <v>1937.0</v>
      </c>
      <c r="DQ2" s="3">
        <v>1938.0</v>
      </c>
      <c r="DR2" s="3">
        <v>1939.0</v>
      </c>
      <c r="DS2" s="3">
        <v>1940.0</v>
      </c>
      <c r="DT2" s="3">
        <v>1941.0</v>
      </c>
      <c r="DU2" s="3">
        <v>1942.0</v>
      </c>
      <c r="DV2" s="3">
        <v>1943.0</v>
      </c>
      <c r="DW2" s="3">
        <v>1944.0</v>
      </c>
      <c r="DX2" s="3">
        <v>1945.0</v>
      </c>
      <c r="DY2" s="3">
        <v>1946.0</v>
      </c>
      <c r="DZ2" s="3">
        <v>1947.0</v>
      </c>
      <c r="EA2" s="3">
        <v>1948.0</v>
      </c>
      <c r="EB2" s="3">
        <v>1949.0</v>
      </c>
      <c r="EC2" s="3">
        <v>1950.0</v>
      </c>
      <c r="ED2" s="3">
        <v>1951.0</v>
      </c>
      <c r="EE2" s="3">
        <v>1952.0</v>
      </c>
      <c r="EF2" s="3">
        <v>1953.0</v>
      </c>
      <c r="EG2" s="3">
        <v>1954.0</v>
      </c>
      <c r="EH2" s="3">
        <v>1955.0</v>
      </c>
      <c r="EI2" s="3">
        <v>1956.0</v>
      </c>
      <c r="EJ2" s="3">
        <v>1957.0</v>
      </c>
      <c r="EK2" s="3">
        <v>1958.0</v>
      </c>
      <c r="EL2" s="3">
        <v>1959.0</v>
      </c>
      <c r="EM2" s="3">
        <v>1960.0</v>
      </c>
      <c r="EN2" s="3">
        <v>1961.0</v>
      </c>
      <c r="EO2" s="3">
        <v>1962.0</v>
      </c>
      <c r="EP2" s="3">
        <v>1963.0</v>
      </c>
      <c r="EQ2" s="3">
        <v>1964.0</v>
      </c>
      <c r="ER2" s="3">
        <v>1965.0</v>
      </c>
      <c r="ES2" s="3">
        <v>1966.0</v>
      </c>
      <c r="ET2" s="3">
        <v>1967.0</v>
      </c>
      <c r="EU2" s="3">
        <v>1968.0</v>
      </c>
      <c r="EV2" s="3">
        <v>1969.0</v>
      </c>
      <c r="EW2" s="3">
        <v>1970.0</v>
      </c>
      <c r="EX2" s="3">
        <v>1971.0</v>
      </c>
      <c r="EY2" s="3">
        <v>1972.0</v>
      </c>
      <c r="EZ2" s="3">
        <v>1973.0</v>
      </c>
      <c r="FA2" s="3">
        <v>1974.0</v>
      </c>
      <c r="FB2" s="3">
        <v>1975.0</v>
      </c>
      <c r="FC2" s="3">
        <v>1976.0</v>
      </c>
      <c r="FD2" s="3">
        <v>1977.0</v>
      </c>
      <c r="FE2" s="3">
        <v>1978.0</v>
      </c>
      <c r="FF2" s="3">
        <v>1979.0</v>
      </c>
      <c r="FG2" s="3">
        <v>1980.0</v>
      </c>
      <c r="FH2" s="3">
        <v>1981.0</v>
      </c>
      <c r="FI2" s="3">
        <v>1982.0</v>
      </c>
      <c r="FJ2" s="3">
        <v>1983.0</v>
      </c>
      <c r="FK2" s="3">
        <v>1984.0</v>
      </c>
      <c r="FL2" s="3">
        <v>1985.0</v>
      </c>
      <c r="FM2" s="3">
        <v>1986.0</v>
      </c>
      <c r="FN2" s="3">
        <v>1987.0</v>
      </c>
      <c r="FO2" s="3">
        <v>1988.0</v>
      </c>
      <c r="FP2" s="3">
        <v>1989.0</v>
      </c>
      <c r="FQ2" s="3">
        <v>1990.0</v>
      </c>
      <c r="FR2" s="3">
        <v>1991.0</v>
      </c>
      <c r="FS2" s="3">
        <v>1992.0</v>
      </c>
      <c r="FT2" s="3">
        <v>1993.0</v>
      </c>
      <c r="FU2" s="3">
        <v>1994.0</v>
      </c>
      <c r="FV2" s="3">
        <v>1995.0</v>
      </c>
      <c r="FW2" s="3">
        <v>1996.0</v>
      </c>
      <c r="FX2" s="3">
        <v>1997.0</v>
      </c>
      <c r="FY2" s="3">
        <v>1998.0</v>
      </c>
      <c r="FZ2" s="3">
        <v>1999.0</v>
      </c>
      <c r="GA2" s="3">
        <v>2000.0</v>
      </c>
      <c r="GB2" s="3">
        <v>2001.0</v>
      </c>
      <c r="GC2" s="3">
        <v>2002.0</v>
      </c>
      <c r="GD2" s="3">
        <v>2003.0</v>
      </c>
      <c r="GE2" s="3">
        <v>2004.0</v>
      </c>
      <c r="GF2" s="3">
        <v>2005.0</v>
      </c>
      <c r="GG2" s="3">
        <v>2006.0</v>
      </c>
      <c r="GH2" s="3">
        <v>2007.0</v>
      </c>
      <c r="GI2" s="3">
        <v>2008.0</v>
      </c>
      <c r="GJ2" s="3">
        <v>2009.0</v>
      </c>
      <c r="GK2" s="3">
        <v>2010.0</v>
      </c>
      <c r="GL2" s="3">
        <v>2011.0</v>
      </c>
      <c r="GM2" s="3">
        <v>2012.0</v>
      </c>
      <c r="GN2" s="3">
        <v>2013.0</v>
      </c>
      <c r="GO2" s="3">
        <v>2014.0</v>
      </c>
      <c r="GP2" s="3">
        <v>2015.0</v>
      </c>
      <c r="GQ2" s="3">
        <v>2016.0</v>
      </c>
      <c r="GR2" s="3">
        <v>2017.0</v>
      </c>
      <c r="GS2" s="3">
        <v>2018.0</v>
      </c>
      <c r="GT2" s="3">
        <v>2019.0</v>
      </c>
      <c r="GU2" s="3">
        <v>2020.0</v>
      </c>
      <c r="GV2" s="1">
        <v>2021.0</v>
      </c>
      <c r="GW2" s="3">
        <v>2022.0</v>
      </c>
      <c r="GX2" s="1">
        <v>2023.0</v>
      </c>
      <c r="GY2" s="3">
        <v>2024.0</v>
      </c>
      <c r="GZ2" s="1">
        <v>2025.0</v>
      </c>
      <c r="HA2" s="3">
        <v>2026.0</v>
      </c>
      <c r="HB2" s="1">
        <v>2027.0</v>
      </c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</row>
    <row r="3" ht="14.25" customHeight="1">
      <c r="A3" s="4" t="s">
        <v>1</v>
      </c>
      <c r="B3" s="4"/>
      <c r="C3" s="4"/>
      <c r="D3" s="5">
        <v>0.08616217435434759</v>
      </c>
      <c r="E3" s="5">
        <v>-0.03262901048696916</v>
      </c>
      <c r="F3" s="5">
        <v>0.03861325032870905</v>
      </c>
      <c r="G3" s="5">
        <v>0.03407740402004857</v>
      </c>
      <c r="H3" s="5">
        <v>-0.03745159275452842</v>
      </c>
      <c r="I3" s="5">
        <v>0.03262731661734932</v>
      </c>
      <c r="J3" s="5">
        <v>-0.015182364326471106</v>
      </c>
      <c r="K3" s="5">
        <v>-5.360014293371449E-4</v>
      </c>
      <c r="L3" s="5">
        <v>0.03210072015935441</v>
      </c>
      <c r="M3" s="5">
        <v>-0.01880489917109984</v>
      </c>
      <c r="N3" s="5">
        <v>0.018232253183709496</v>
      </c>
      <c r="O3" s="5">
        <v>0.09193124969042547</v>
      </c>
      <c r="P3" s="5">
        <v>-0.01528691313222953</v>
      </c>
      <c r="Q3" s="5">
        <v>0.005689146858301087</v>
      </c>
      <c r="R3" s="5">
        <v>0.03776653001397064</v>
      </c>
      <c r="S3" s="5">
        <v>-0.011233227401129944</v>
      </c>
      <c r="T3" s="5">
        <v>0.019329062785974155</v>
      </c>
      <c r="U3" s="5">
        <v>0.04882962184413935</v>
      </c>
      <c r="V3" s="5">
        <v>-0.031983966262343684</v>
      </c>
      <c r="W3" s="5">
        <v>0.07464360428753208</v>
      </c>
      <c r="X3" s="5">
        <v>0.02442401862406679</v>
      </c>
      <c r="Y3" s="5">
        <v>-0.02178469977470859</v>
      </c>
      <c r="Z3" s="5">
        <v>0.05331143732601686</v>
      </c>
      <c r="AA3" s="5">
        <v>0.0361631333776975</v>
      </c>
      <c r="AB3" s="5">
        <v>-0.030533790850872523</v>
      </c>
      <c r="AC3" s="5">
        <v>0.0024984384759525295</v>
      </c>
      <c r="AD3" s="5">
        <v>0.1102803738317757</v>
      </c>
      <c r="AE3" s="5">
        <v>-0.0613542835765058</v>
      </c>
      <c r="AF3" s="5">
        <v>0.03143229827167651</v>
      </c>
      <c r="AG3" s="5">
        <v>0.019426343245569352</v>
      </c>
      <c r="AH3" s="5">
        <v>-0.014662554489222764</v>
      </c>
      <c r="AI3" s="5">
        <v>0.06545079387284046</v>
      </c>
      <c r="AJ3" s="5">
        <v>-0.048612364806092136</v>
      </c>
      <c r="AK3" s="5">
        <v>0.04819817488657731</v>
      </c>
      <c r="AL3" s="5">
        <v>-0.015157250300347251</v>
      </c>
      <c r="AM3" s="5">
        <v>0.043898933859162464</v>
      </c>
      <c r="AN3" s="5">
        <v>0.05713233763946918</v>
      </c>
      <c r="AO3" s="5">
        <v>0.06976286380568764</v>
      </c>
      <c r="AP3" s="5">
        <v>-0.06510014863047632</v>
      </c>
      <c r="AQ3" s="5">
        <v>0.06860370045120068</v>
      </c>
      <c r="AR3" s="5">
        <v>-0.06266914150502288</v>
      </c>
      <c r="AS3" s="5">
        <v>0.0855277080750975</v>
      </c>
      <c r="AT3" s="5">
        <v>0.0362613490781485</v>
      </c>
      <c r="AU3" s="5">
        <v>0.01128789507632767</v>
      </c>
      <c r="AV3" s="5">
        <v>-0.027891463803550547</v>
      </c>
      <c r="AW3" s="5">
        <v>0.0067526005713738945</v>
      </c>
      <c r="AX3" s="5">
        <v>-0.058967291686467256</v>
      </c>
      <c r="AY3" s="5">
        <v>0.09594851965141109</v>
      </c>
      <c r="AZ3" s="5">
        <v>0.02726506753732326</v>
      </c>
      <c r="BA3" s="5">
        <v>-0.07598442886619079</v>
      </c>
      <c r="BB3" s="5">
        <v>-0.006012024048096049</v>
      </c>
      <c r="BC3" s="5">
        <v>0.09274193548387084</v>
      </c>
      <c r="BD3" s="5">
        <v>-0.07011070110701119</v>
      </c>
      <c r="BE3" s="5">
        <v>0.12698412698412703</v>
      </c>
      <c r="BF3" s="5">
        <v>0.03345070422535226</v>
      </c>
      <c r="BG3" s="5">
        <v>-0.08177172061328801</v>
      </c>
      <c r="BH3" s="5">
        <v>0.05380333951762519</v>
      </c>
      <c r="BI3" s="5">
        <v>-0.012323943661971775</v>
      </c>
      <c r="BJ3" s="5">
        <v>-0.06238859180035639</v>
      </c>
      <c r="BK3" s="5">
        <v>0.08935361216730009</v>
      </c>
      <c r="BL3" s="5">
        <v>0.038394415357766346</v>
      </c>
      <c r="BM3" s="5">
        <v>0.04705882352941171</v>
      </c>
      <c r="BN3" s="5">
        <v>0.0032102728731942527</v>
      </c>
      <c r="BO3" s="5">
        <v>-0.011200000000000107</v>
      </c>
      <c r="BP3" s="5">
        <v>-0.01779935275080891</v>
      </c>
      <c r="BQ3" s="5">
        <v>0.016474464579901146</v>
      </c>
      <c r="BR3" s="5">
        <v>0.00648298217179909</v>
      </c>
      <c r="BS3" s="5">
        <v>0.0096618357487922</v>
      </c>
      <c r="BT3" s="5">
        <v>0.025518341307814916</v>
      </c>
      <c r="BU3" s="5">
        <v>0.023328149300155435</v>
      </c>
      <c r="BV3" s="5">
        <v>0.022796352583586695</v>
      </c>
      <c r="BW3" s="5">
        <v>0.02526002971768212</v>
      </c>
      <c r="BX3" s="5">
        <v>0.017391304347826108</v>
      </c>
      <c r="BY3" s="5">
        <v>0.037037037037036966</v>
      </c>
      <c r="BZ3" s="5">
        <v>-0.020604395604395667</v>
      </c>
      <c r="CA3" s="5">
        <v>0.047685834502103966</v>
      </c>
      <c r="CB3" s="5">
        <v>-0.013386880856760368</v>
      </c>
      <c r="CC3" s="5">
        <v>0.04884667571234714</v>
      </c>
      <c r="CD3" s="5">
        <v>0.05692108667529124</v>
      </c>
      <c r="CE3" s="5">
        <v>-0.011015911872705125</v>
      </c>
      <c r="CF3" s="5">
        <v>-0.016089108910890996</v>
      </c>
      <c r="CG3" s="5">
        <v>-0.016352201257861666</v>
      </c>
      <c r="CH3" s="5">
        <v>0.02173913043478269</v>
      </c>
      <c r="CI3" s="5">
        <v>0.007509386733416717</v>
      </c>
      <c r="CJ3" s="5">
        <v>0.01739130434782613</v>
      </c>
      <c r="CK3" s="5">
        <v>0.018315018315018368</v>
      </c>
      <c r="CL3" s="5">
        <v>0.04316546762589909</v>
      </c>
      <c r="CM3" s="5">
        <v>-0.005747126436781549</v>
      </c>
      <c r="CN3" s="5">
        <v>0.04161849710982641</v>
      </c>
      <c r="CO3" s="5">
        <v>-0.06104328523862368</v>
      </c>
      <c r="CP3" s="5">
        <v>0.0981087470449175</v>
      </c>
      <c r="CQ3" s="5">
        <v>0.08288482238966602</v>
      </c>
      <c r="CR3" s="5">
        <v>-0.005964214711729481</v>
      </c>
      <c r="CS3" s="5">
        <v>-0.07099999999999988</v>
      </c>
      <c r="CT3" s="5">
        <v>-0.02045209903121656</v>
      </c>
      <c r="CU3" s="5">
        <v>0.0505494505494506</v>
      </c>
      <c r="CV3" s="5">
        <v>-0.15271966527196654</v>
      </c>
      <c r="CW3" s="5">
        <v>-0.21111111111111117</v>
      </c>
      <c r="CX3" s="5">
        <v>0.17840375586854462</v>
      </c>
      <c r="CY3" s="5">
        <v>0.15670650730411678</v>
      </c>
      <c r="CZ3" s="5">
        <v>-0.041331802525832205</v>
      </c>
      <c r="DA3" s="5">
        <v>0.1796407185628743</v>
      </c>
      <c r="DB3" s="5">
        <v>0.051776649746192775</v>
      </c>
      <c r="DC3" s="5">
        <v>0.12548262548262554</v>
      </c>
      <c r="DD3" s="5">
        <v>0.004288164665523024</v>
      </c>
      <c r="DE3" s="5">
        <v>0.026473099914603164</v>
      </c>
      <c r="DF3" s="5">
        <v>-0.020798668885191378</v>
      </c>
      <c r="DG3" s="5">
        <v>0.06966864910790142</v>
      </c>
      <c r="DH3" s="5">
        <v>0.06751389992057188</v>
      </c>
      <c r="DI3" s="5">
        <v>-0.029017857142857272</v>
      </c>
      <c r="DJ3" s="5">
        <v>-0.0597701149425287</v>
      </c>
      <c r="DK3" s="5">
        <v>-0.06519967400162997</v>
      </c>
      <c r="DL3" s="5">
        <v>0.07149084568439423</v>
      </c>
      <c r="DM3" s="5">
        <v>-0.009764035801464697</v>
      </c>
      <c r="DN3" s="5">
        <v>-0.025472473294987752</v>
      </c>
      <c r="DO3" s="5">
        <v>0.037942664418212334</v>
      </c>
      <c r="DP3" s="5">
        <v>0.05767668562144589</v>
      </c>
      <c r="DQ3" s="5">
        <v>-0.00384024577572953</v>
      </c>
      <c r="DR3" s="5">
        <v>0.07170393215111805</v>
      </c>
      <c r="DS3" s="5">
        <v>-0.17482014388489203</v>
      </c>
      <c r="DT3" s="5">
        <v>-0.20924149956408022</v>
      </c>
      <c r="DU3" s="5">
        <v>-0.10363836824696813</v>
      </c>
      <c r="DV3" s="5">
        <v>-0.05043050430504292</v>
      </c>
      <c r="DW3" s="5">
        <v>-0.15544041450777196</v>
      </c>
      <c r="DX3" s="5">
        <v>0.08435582822085894</v>
      </c>
      <c r="DY3" s="5">
        <v>0.5205091937765202</v>
      </c>
      <c r="DZ3" s="5">
        <v>0.08372093023255821</v>
      </c>
      <c r="EA3" s="5">
        <v>0.07296137339055796</v>
      </c>
      <c r="EB3" s="5">
        <v>0.13600000000000004</v>
      </c>
      <c r="EC3" s="5">
        <v>0.07465659211447352</v>
      </c>
      <c r="ED3" s="5">
        <v>0.061598606752172415</v>
      </c>
      <c r="EE3" s="5">
        <v>0.02654288814648359</v>
      </c>
      <c r="EF3" s="5">
        <v>0.028865481694806627</v>
      </c>
      <c r="EG3" s="5">
        <v>0.048506813686428854</v>
      </c>
      <c r="EH3" s="5">
        <v>0.057415658816040736</v>
      </c>
      <c r="EI3" s="5">
        <v>0.05060598763945742</v>
      </c>
      <c r="EJ3" s="5">
        <v>0.060211342193083287</v>
      </c>
      <c r="EK3" s="5">
        <v>0.025082867137448086</v>
      </c>
      <c r="EL3" s="5">
        <v>0.028622917505415922</v>
      </c>
      <c r="EM3" s="5">
        <v>0.07046694250816964</v>
      </c>
      <c r="EN3" s="5">
        <v>0.05555571676885978</v>
      </c>
      <c r="EO3" s="5">
        <v>0.066481743156089</v>
      </c>
      <c r="EP3" s="5">
        <v>0.051949156692968186</v>
      </c>
      <c r="EQ3" s="5">
        <v>0.06666666666666667</v>
      </c>
      <c r="ER3" s="5">
        <v>0.0486106006028082</v>
      </c>
      <c r="ES3" s="5">
        <v>0.0507715968242284</v>
      </c>
      <c r="ET3" s="5">
        <v>0.04621886408509875</v>
      </c>
      <c r="EU3" s="5">
        <v>0.044177050970607756</v>
      </c>
      <c r="EV3" s="5">
        <v>0.06930398288441829</v>
      </c>
      <c r="EW3" s="5">
        <v>0.057308845577211394</v>
      </c>
      <c r="EX3" s="5">
        <v>0.04839050016121164</v>
      </c>
      <c r="EY3" s="5">
        <v>0.0444614406131502</v>
      </c>
      <c r="EZ3" s="5">
        <v>0.05441458496488188</v>
      </c>
      <c r="FA3" s="5">
        <v>0.02930997931180689</v>
      </c>
      <c r="FB3" s="5">
        <v>-0.006968631216513355</v>
      </c>
      <c r="FC3" s="5">
        <v>0.04322663515976118</v>
      </c>
      <c r="FD3" s="5">
        <v>0.03732075916668266</v>
      </c>
      <c r="FE3" s="5">
        <v>0.02775644541963796</v>
      </c>
      <c r="FF3" s="5">
        <v>0.032084357927011205</v>
      </c>
      <c r="FG3" s="5">
        <v>0.014046263447191308</v>
      </c>
      <c r="FH3" s="5">
        <v>0.010264659366424869</v>
      </c>
      <c r="FI3" s="5">
        <v>0.02514365369363934</v>
      </c>
      <c r="FJ3" s="5">
        <v>0.01169571908441872</v>
      </c>
      <c r="FK3" s="5">
        <v>0.014693119285422756</v>
      </c>
      <c r="FL3" s="5">
        <v>0.014023801047652952</v>
      </c>
      <c r="FM3" s="5">
        <v>0.023736328870803198</v>
      </c>
      <c r="FN3" s="5">
        <v>0.02526697167110738</v>
      </c>
      <c r="FO3" s="5">
        <v>0.04394443225726579</v>
      </c>
      <c r="FP3" s="5">
        <v>0.04056956975388203</v>
      </c>
      <c r="FQ3" s="5">
        <v>0.026197507512851326</v>
      </c>
      <c r="FR3" s="5">
        <v>0.01211021530742368</v>
      </c>
      <c r="FS3" s="5">
        <v>0.019445763714476573</v>
      </c>
      <c r="FT3" s="5">
        <v>-0.009898145807769853</v>
      </c>
      <c r="FU3" s="5">
        <v>0.02081874143137173</v>
      </c>
      <c r="FV3" s="5">
        <v>0.02354024005027817</v>
      </c>
      <c r="FW3" s="5">
        <v>0.01094483866913416</v>
      </c>
      <c r="FX3" s="5">
        <v>0.024013113328074362</v>
      </c>
      <c r="FY3" s="5">
        <v>0.025396883452960935</v>
      </c>
      <c r="FZ3" s="5">
        <v>0.03304962990157936</v>
      </c>
      <c r="GA3" s="5">
        <v>0.03912832873355816</v>
      </c>
      <c r="GB3" s="5">
        <v>0.018498687647224194</v>
      </c>
      <c r="GC3" s="5">
        <v>0.010251514410392437</v>
      </c>
      <c r="GD3" s="5">
        <v>0.011027102260299085</v>
      </c>
      <c r="GE3" s="5">
        <v>0.023710001162594634</v>
      </c>
      <c r="GF3" s="5">
        <v>0.019000251200724422</v>
      </c>
      <c r="GG3" s="5">
        <v>0.02399996457242982</v>
      </c>
      <c r="GH3" s="5">
        <v>0.022999955311901306</v>
      </c>
      <c r="GI3" s="5">
        <v>0.003000062002220807</v>
      </c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</row>
    <row r="4" ht="14.25" customHeight="1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6">
        <v>8.56561745816649</v>
      </c>
      <c r="ED4" s="6">
        <v>5.79152057510074</v>
      </c>
      <c r="EE4" s="6">
        <v>3.11403406430019</v>
      </c>
      <c r="EF4" s="6">
        <v>3.45622996112203</v>
      </c>
      <c r="EG4" s="6">
        <v>5.57832021697569</v>
      </c>
      <c r="EH4" s="6">
        <v>5.31187150812929</v>
      </c>
      <c r="EI4" s="6">
        <v>4.98785370674778</v>
      </c>
      <c r="EJ4" s="6">
        <v>5.51671400223311</v>
      </c>
      <c r="EK4" s="6">
        <v>2.69571385179235</v>
      </c>
      <c r="EL4" s="6">
        <v>2.67142480602955</v>
      </c>
      <c r="EM4" s="6">
        <v>7.99195249065767</v>
      </c>
      <c r="EN4" s="6">
        <v>4.98013286549221</v>
      </c>
      <c r="EO4" s="6">
        <v>6.84353498941024</v>
      </c>
      <c r="EP4" s="6">
        <v>6.23355624094208</v>
      </c>
      <c r="EQ4" s="6">
        <v>6.65220075230069</v>
      </c>
      <c r="ER4" s="6">
        <v>4.86142661591403</v>
      </c>
      <c r="ES4" s="6">
        <v>5.25183358534413</v>
      </c>
      <c r="ET4" s="6">
        <v>4.92123129139564</v>
      </c>
      <c r="EU4" s="6">
        <v>4.49131897030728</v>
      </c>
      <c r="EV4" s="6">
        <v>7.10945009049206</v>
      </c>
      <c r="EW4" s="6">
        <v>6.10867761617023</v>
      </c>
      <c r="EX4" s="6">
        <v>5.31675290605666</v>
      </c>
      <c r="EY4" s="6">
        <v>4.51137162790879</v>
      </c>
      <c r="EZ4" s="6">
        <v>6.34456486486927</v>
      </c>
      <c r="FA4" s="6">
        <v>4.30084071012452</v>
      </c>
      <c r="FB4" s="6">
        <v>-0.959867329154789</v>
      </c>
      <c r="FC4" s="6">
        <v>4.3567555213389</v>
      </c>
      <c r="FD4" s="6">
        <v>3.46429235913467</v>
      </c>
      <c r="FE4" s="6">
        <v>3.97854946848446</v>
      </c>
      <c r="FF4" s="6">
        <v>3.55000037634591</v>
      </c>
      <c r="FG4" s="6">
        <v>1.57880122754374</v>
      </c>
      <c r="FH4" s="6">
        <v>1.06901275670967</v>
      </c>
      <c r="FI4" s="6">
        <v>2.50536136560163</v>
      </c>
      <c r="FJ4" s="6">
        <v>1.24085291552498</v>
      </c>
      <c r="FK4" s="6">
        <v>1.5137078700601</v>
      </c>
      <c r="FL4" s="6">
        <v>1.6228216501733</v>
      </c>
      <c r="FM4" s="6">
        <v>2.3372356023938</v>
      </c>
      <c r="FN4" s="6">
        <v>2.56190869406679</v>
      </c>
      <c r="FO4" s="6">
        <v>4.74318506127023</v>
      </c>
      <c r="FP4" s="6">
        <v>4.34381995889572</v>
      </c>
      <c r="FQ4" s="6">
        <v>2.92395174185515</v>
      </c>
      <c r="FR4" s="6">
        <v>1.0481802223058</v>
      </c>
      <c r="FS4" s="6">
        <v>1.59934649977294</v>
      </c>
      <c r="FT4" s="6">
        <v>-0.628658846908874</v>
      </c>
      <c r="FU4" s="6">
        <v>2.35837174390399</v>
      </c>
      <c r="FV4" s="6">
        <v>2.1066514052863</v>
      </c>
      <c r="FW4" s="6">
        <v>1.41299601530085</v>
      </c>
      <c r="FX4" s="6">
        <v>2.33632936675067</v>
      </c>
      <c r="FY4" s="6">
        <v>3.5886293379514</v>
      </c>
      <c r="FZ4" s="6">
        <v>3.42135235980006</v>
      </c>
      <c r="GA4" s="6">
        <v>3.92371245576191</v>
      </c>
      <c r="GB4" s="6">
        <v>1.98371211462977</v>
      </c>
      <c r="GC4" s="6">
        <v>1.13554174369233</v>
      </c>
      <c r="GD4" s="6">
        <v>0.823122997395163</v>
      </c>
      <c r="GE4" s="6">
        <v>2.82979658451117</v>
      </c>
      <c r="GF4" s="6">
        <v>1.66318213006728</v>
      </c>
      <c r="GG4" s="6">
        <v>2.44934540139417</v>
      </c>
      <c r="GH4" s="6">
        <v>2.42473978561776</v>
      </c>
      <c r="GI4" s="6">
        <v>0.25493676773192</v>
      </c>
      <c r="GJ4" s="6">
        <v>-2.87332540715448</v>
      </c>
      <c r="GK4" s="6">
        <v>1.94945890344995</v>
      </c>
      <c r="GL4" s="6">
        <v>2.19267971584139</v>
      </c>
      <c r="GM4" s="6">
        <v>0.31316447000194</v>
      </c>
      <c r="GN4" s="6">
        <v>0.576323570182615</v>
      </c>
      <c r="GO4" s="6">
        <v>0.956168723899057</v>
      </c>
      <c r="GP4" s="6">
        <v>1.11291234158153</v>
      </c>
      <c r="GQ4" s="6">
        <v>1.09546258424186</v>
      </c>
      <c r="GR4" s="6">
        <v>2.29140752391649</v>
      </c>
      <c r="GS4" s="6">
        <v>1.86509853990131</v>
      </c>
      <c r="GT4" s="6">
        <v>1.842969128839</v>
      </c>
      <c r="GU4" s="6">
        <v>-7.85526627243211</v>
      </c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</row>
    <row r="5" ht="14.25" customHeight="1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5">
        <f t="shared" ref="EC5:GU5" si="1">EC4/100</f>
        <v>0.08565617458</v>
      </c>
      <c r="ED5" s="5">
        <f t="shared" si="1"/>
        <v>0.05791520575</v>
      </c>
      <c r="EE5" s="5">
        <f t="shared" si="1"/>
        <v>0.03114034064</v>
      </c>
      <c r="EF5" s="5">
        <f t="shared" si="1"/>
        <v>0.03456229961</v>
      </c>
      <c r="EG5" s="5">
        <f t="shared" si="1"/>
        <v>0.05578320217</v>
      </c>
      <c r="EH5" s="5">
        <f t="shared" si="1"/>
        <v>0.05311871508</v>
      </c>
      <c r="EI5" s="5">
        <f t="shared" si="1"/>
        <v>0.04987853707</v>
      </c>
      <c r="EJ5" s="5">
        <f t="shared" si="1"/>
        <v>0.05516714002</v>
      </c>
      <c r="EK5" s="5">
        <f t="shared" si="1"/>
        <v>0.02695713852</v>
      </c>
      <c r="EL5" s="5">
        <f t="shared" si="1"/>
        <v>0.02671424806</v>
      </c>
      <c r="EM5" s="5">
        <f t="shared" si="1"/>
        <v>0.07991952491</v>
      </c>
      <c r="EN5" s="5">
        <f t="shared" si="1"/>
        <v>0.04980132865</v>
      </c>
      <c r="EO5" s="5">
        <f t="shared" si="1"/>
        <v>0.06843534989</v>
      </c>
      <c r="EP5" s="5">
        <f t="shared" si="1"/>
        <v>0.06233556241</v>
      </c>
      <c r="EQ5" s="5">
        <f t="shared" si="1"/>
        <v>0.06652200752</v>
      </c>
      <c r="ER5" s="5">
        <f t="shared" si="1"/>
        <v>0.04861426616</v>
      </c>
      <c r="ES5" s="5">
        <f t="shared" si="1"/>
        <v>0.05251833585</v>
      </c>
      <c r="ET5" s="5">
        <f t="shared" si="1"/>
        <v>0.04921231291</v>
      </c>
      <c r="EU5" s="5">
        <f t="shared" si="1"/>
        <v>0.0449131897</v>
      </c>
      <c r="EV5" s="5">
        <f t="shared" si="1"/>
        <v>0.0710945009</v>
      </c>
      <c r="EW5" s="5">
        <f t="shared" si="1"/>
        <v>0.06108677616</v>
      </c>
      <c r="EX5" s="5">
        <f t="shared" si="1"/>
        <v>0.05316752906</v>
      </c>
      <c r="EY5" s="5">
        <f t="shared" si="1"/>
        <v>0.04511371628</v>
      </c>
      <c r="EZ5" s="5">
        <f t="shared" si="1"/>
        <v>0.06344564865</v>
      </c>
      <c r="FA5" s="5">
        <f t="shared" si="1"/>
        <v>0.0430084071</v>
      </c>
      <c r="FB5" s="5">
        <f t="shared" si="1"/>
        <v>-0.009598673292</v>
      </c>
      <c r="FC5" s="5">
        <f t="shared" si="1"/>
        <v>0.04356755521</v>
      </c>
      <c r="FD5" s="5">
        <f t="shared" si="1"/>
        <v>0.03464292359</v>
      </c>
      <c r="FE5" s="5">
        <f t="shared" si="1"/>
        <v>0.03978549468</v>
      </c>
      <c r="FF5" s="5">
        <f t="shared" si="1"/>
        <v>0.03550000376</v>
      </c>
      <c r="FG5" s="5">
        <f t="shared" si="1"/>
        <v>0.01578801228</v>
      </c>
      <c r="FH5" s="5">
        <f t="shared" si="1"/>
        <v>0.01069012757</v>
      </c>
      <c r="FI5" s="5">
        <f t="shared" si="1"/>
        <v>0.02505361366</v>
      </c>
      <c r="FJ5" s="5">
        <f t="shared" si="1"/>
        <v>0.01240852916</v>
      </c>
      <c r="FK5" s="5">
        <f t="shared" si="1"/>
        <v>0.0151370787</v>
      </c>
      <c r="FL5" s="5">
        <f t="shared" si="1"/>
        <v>0.0162282165</v>
      </c>
      <c r="FM5" s="5">
        <f t="shared" si="1"/>
        <v>0.02337235602</v>
      </c>
      <c r="FN5" s="5">
        <f t="shared" si="1"/>
        <v>0.02561908694</v>
      </c>
      <c r="FO5" s="5">
        <f t="shared" si="1"/>
        <v>0.04743185061</v>
      </c>
      <c r="FP5" s="5">
        <f t="shared" si="1"/>
        <v>0.04343819959</v>
      </c>
      <c r="FQ5" s="5">
        <f t="shared" si="1"/>
        <v>0.02923951742</v>
      </c>
      <c r="FR5" s="5">
        <f t="shared" si="1"/>
        <v>0.01048180222</v>
      </c>
      <c r="FS5" s="5">
        <f t="shared" si="1"/>
        <v>0.015993465</v>
      </c>
      <c r="FT5" s="5">
        <f t="shared" si="1"/>
        <v>-0.006286588469</v>
      </c>
      <c r="FU5" s="5">
        <f t="shared" si="1"/>
        <v>0.02358371744</v>
      </c>
      <c r="FV5" s="5">
        <f t="shared" si="1"/>
        <v>0.02106651405</v>
      </c>
      <c r="FW5" s="5">
        <f t="shared" si="1"/>
        <v>0.01412996015</v>
      </c>
      <c r="FX5" s="5">
        <f t="shared" si="1"/>
        <v>0.02336329367</v>
      </c>
      <c r="FY5" s="5">
        <f t="shared" si="1"/>
        <v>0.03588629338</v>
      </c>
      <c r="FZ5" s="5">
        <f t="shared" si="1"/>
        <v>0.0342135236</v>
      </c>
      <c r="GA5" s="5">
        <f t="shared" si="1"/>
        <v>0.03923712456</v>
      </c>
      <c r="GB5" s="5">
        <f t="shared" si="1"/>
        <v>0.01983712115</v>
      </c>
      <c r="GC5" s="5">
        <f t="shared" si="1"/>
        <v>0.01135541744</v>
      </c>
      <c r="GD5" s="5">
        <f t="shared" si="1"/>
        <v>0.008231229974</v>
      </c>
      <c r="GE5" s="5">
        <f t="shared" si="1"/>
        <v>0.02829796585</v>
      </c>
      <c r="GF5" s="5">
        <f t="shared" si="1"/>
        <v>0.0166318213</v>
      </c>
      <c r="GG5" s="5">
        <f t="shared" si="1"/>
        <v>0.02449345401</v>
      </c>
      <c r="GH5" s="5">
        <f t="shared" si="1"/>
        <v>0.02424739786</v>
      </c>
      <c r="GI5" s="5">
        <f t="shared" si="1"/>
        <v>0.002549367677</v>
      </c>
      <c r="GJ5" s="5">
        <f t="shared" si="1"/>
        <v>-0.02873325407</v>
      </c>
      <c r="GK5" s="5">
        <f t="shared" si="1"/>
        <v>0.01949458903</v>
      </c>
      <c r="GL5" s="5">
        <f t="shared" si="1"/>
        <v>0.02192679716</v>
      </c>
      <c r="GM5" s="5">
        <f t="shared" si="1"/>
        <v>0.0031316447</v>
      </c>
      <c r="GN5" s="5">
        <f t="shared" si="1"/>
        <v>0.005763235702</v>
      </c>
      <c r="GO5" s="5">
        <f t="shared" si="1"/>
        <v>0.009561687239</v>
      </c>
      <c r="GP5" s="5">
        <f t="shared" si="1"/>
        <v>0.01112912342</v>
      </c>
      <c r="GQ5" s="5">
        <f t="shared" si="1"/>
        <v>0.01095462584</v>
      </c>
      <c r="GR5" s="5">
        <f t="shared" si="1"/>
        <v>0.02291407524</v>
      </c>
      <c r="GS5" s="5">
        <f t="shared" si="1"/>
        <v>0.0186509854</v>
      </c>
      <c r="GT5" s="5">
        <f t="shared" si="1"/>
        <v>0.01842969129</v>
      </c>
      <c r="GU5" s="5">
        <f t="shared" si="1"/>
        <v>-0.07855266272</v>
      </c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</row>
    <row r="6" ht="14.25" customHeight="1">
      <c r="A6" s="7" t="s">
        <v>4</v>
      </c>
    </row>
    <row r="7" ht="14.25" customHeight="1">
      <c r="A7" s="7" t="s">
        <v>5</v>
      </c>
      <c r="GS7" s="7">
        <v>0.018000000000000002</v>
      </c>
      <c r="GT7" s="7">
        <v>0.015</v>
      </c>
      <c r="GU7" s="7">
        <v>-0.08199999999999999</v>
      </c>
      <c r="GV7" s="7">
        <v>0.05</v>
      </c>
      <c r="GW7" s="7">
        <v>0.04</v>
      </c>
      <c r="GX7" s="7">
        <v>0.023</v>
      </c>
      <c r="GY7" s="7">
        <v>0.016</v>
      </c>
      <c r="GZ7" s="7">
        <v>0.013999999999999999</v>
      </c>
      <c r="HA7" s="7">
        <v>0.013999999999999999</v>
      </c>
      <c r="HB7" s="7">
        <v>0.013999999999999999</v>
      </c>
    </row>
    <row r="8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8" t="s">
        <v>6</v>
      </c>
      <c r="GT8" s="8" t="s">
        <v>7</v>
      </c>
      <c r="GU8" s="8" t="s">
        <v>8</v>
      </c>
      <c r="GV8" s="8" t="s">
        <v>9</v>
      </c>
      <c r="GW8" s="8" t="s">
        <v>10</v>
      </c>
      <c r="GX8" s="8" t="s">
        <v>11</v>
      </c>
      <c r="GY8" s="8" t="s">
        <v>12</v>
      </c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</row>
    <row r="9" ht="14.25" customHeight="1">
      <c r="A9" s="7" t="s">
        <v>13</v>
      </c>
      <c r="GR9" s="4"/>
      <c r="GS9" s="9" t="s">
        <v>14</v>
      </c>
      <c r="GT9" s="10">
        <v>0.006695266679317413</v>
      </c>
      <c r="GU9" s="11">
        <v>0.017328361641375967</v>
      </c>
      <c r="GV9" s="11">
        <v>0.019074672813402138</v>
      </c>
      <c r="GW9" s="11">
        <v>0.01701093257446762</v>
      </c>
      <c r="GX9" s="11">
        <v>0.017344213951059118</v>
      </c>
      <c r="GY9" s="11">
        <v>0.01687761850849845</v>
      </c>
      <c r="GZ9" s="4"/>
    </row>
    <row r="10" ht="14.25" customHeight="1">
      <c r="A10" s="7" t="s">
        <v>15</v>
      </c>
      <c r="GR10" s="4"/>
      <c r="GS10" s="12" t="s">
        <v>16</v>
      </c>
      <c r="GU10" s="13">
        <v>0.01665172148385441</v>
      </c>
      <c r="GV10" s="13">
        <v>0.016074671847399413</v>
      </c>
      <c r="GW10" s="13">
        <v>0.01401093204634929</v>
      </c>
      <c r="GX10" s="13">
        <v>0.014344213269581019</v>
      </c>
      <c r="GY10" s="13">
        <v>0.013877618037283046</v>
      </c>
      <c r="GZ10" s="4"/>
    </row>
    <row r="11" ht="14.25" customHeight="1">
      <c r="A11" s="7" t="s">
        <v>17</v>
      </c>
      <c r="GR11" s="4"/>
      <c r="GS11" s="9" t="s">
        <v>18</v>
      </c>
      <c r="GU11" s="11">
        <v>0.016207621829718022</v>
      </c>
      <c r="GV11" s="11">
        <v>0.014074671200222433</v>
      </c>
      <c r="GW11" s="11">
        <v>0.012010931692531424</v>
      </c>
      <c r="GX11" s="11">
        <v>0.01234421281301934</v>
      </c>
      <c r="GY11" s="11">
        <v>0.011877617721587352</v>
      </c>
      <c r="GZ11" s="4"/>
    </row>
    <row r="12" ht="14.25" customHeight="1">
      <c r="A12" s="7" t="s">
        <v>19</v>
      </c>
      <c r="GR12" s="4"/>
      <c r="GS12" s="12" t="s">
        <v>20</v>
      </c>
      <c r="GU12" s="13">
        <v>0.015540853561997414</v>
      </c>
      <c r="GV12" s="13">
        <v>0.011062173704871503</v>
      </c>
      <c r="GW12" s="13">
        <v>0.009022048511884817</v>
      </c>
      <c r="GX12" s="13">
        <v>0.00934421212478509</v>
      </c>
      <c r="GY12" s="13">
        <v>0.008888733129545079</v>
      </c>
      <c r="GZ12" s="4"/>
    </row>
    <row r="13" ht="14.25" customHeight="1"/>
    <row r="14" ht="14.25" customHeight="1">
      <c r="A14" s="4"/>
    </row>
    <row r="15" ht="14.25" customHeight="1">
      <c r="A15" s="1" t="s">
        <v>0</v>
      </c>
      <c r="B15" s="2"/>
      <c r="C15" s="3">
        <v>1820.0</v>
      </c>
      <c r="D15" s="3">
        <v>1821.0</v>
      </c>
      <c r="E15" s="3">
        <v>1822.0</v>
      </c>
      <c r="F15" s="3">
        <v>1823.0</v>
      </c>
      <c r="G15" s="3">
        <v>1824.0</v>
      </c>
      <c r="H15" s="3">
        <v>1825.0</v>
      </c>
      <c r="I15" s="3">
        <v>1826.0</v>
      </c>
      <c r="J15" s="3">
        <v>1827.0</v>
      </c>
      <c r="K15" s="3">
        <v>1828.0</v>
      </c>
      <c r="L15" s="3">
        <v>1829.0</v>
      </c>
      <c r="M15" s="3">
        <v>1830.0</v>
      </c>
      <c r="N15" s="3">
        <v>1831.0</v>
      </c>
      <c r="O15" s="3">
        <v>1832.0</v>
      </c>
      <c r="P15" s="3">
        <v>1833.0</v>
      </c>
      <c r="Q15" s="3">
        <v>1834.0</v>
      </c>
      <c r="R15" s="3">
        <v>1835.0</v>
      </c>
      <c r="S15" s="3">
        <v>1836.0</v>
      </c>
      <c r="T15" s="3">
        <v>1837.0</v>
      </c>
      <c r="U15" s="3">
        <v>1838.0</v>
      </c>
      <c r="V15" s="3">
        <v>1839.0</v>
      </c>
      <c r="W15" s="3">
        <v>1840.0</v>
      </c>
      <c r="X15" s="3">
        <v>1841.0</v>
      </c>
      <c r="Y15" s="3">
        <v>1842.0</v>
      </c>
      <c r="Z15" s="3">
        <v>1843.0</v>
      </c>
      <c r="AA15" s="3">
        <v>1844.0</v>
      </c>
      <c r="AB15" s="3">
        <v>1845.0</v>
      </c>
      <c r="AC15" s="3">
        <v>1846.0</v>
      </c>
      <c r="AD15" s="3">
        <v>1847.0</v>
      </c>
      <c r="AE15" s="3">
        <v>1848.0</v>
      </c>
      <c r="AF15" s="3">
        <v>1849.0</v>
      </c>
      <c r="AG15" s="3">
        <v>1850.0</v>
      </c>
      <c r="AH15" s="3">
        <v>1851.0</v>
      </c>
      <c r="AI15" s="3">
        <v>1852.0</v>
      </c>
      <c r="AJ15" s="3">
        <v>1853.0</v>
      </c>
      <c r="AK15" s="3">
        <v>1854.0</v>
      </c>
      <c r="AL15" s="3">
        <v>1855.0</v>
      </c>
      <c r="AM15" s="3">
        <v>1856.0</v>
      </c>
      <c r="AN15" s="3">
        <v>1857.0</v>
      </c>
      <c r="AO15" s="3">
        <v>1858.0</v>
      </c>
      <c r="AP15" s="3">
        <v>1859.0</v>
      </c>
      <c r="AQ15" s="3">
        <v>1860.0</v>
      </c>
      <c r="AR15" s="3">
        <v>1861.0</v>
      </c>
      <c r="AS15" s="3">
        <v>1862.0</v>
      </c>
      <c r="AT15" s="3">
        <v>1863.0</v>
      </c>
      <c r="AU15" s="3">
        <v>1864.0</v>
      </c>
      <c r="AV15" s="3">
        <v>1865.0</v>
      </c>
      <c r="AW15" s="3">
        <v>1866.0</v>
      </c>
      <c r="AX15" s="3">
        <v>1867.0</v>
      </c>
      <c r="AY15" s="3">
        <v>1868.0</v>
      </c>
      <c r="AZ15" s="3">
        <v>1869.0</v>
      </c>
      <c r="BA15" s="3">
        <v>1870.0</v>
      </c>
      <c r="BB15" s="3">
        <v>1871.0</v>
      </c>
      <c r="BC15" s="3">
        <v>1872.0</v>
      </c>
      <c r="BD15" s="3">
        <v>1873.0</v>
      </c>
      <c r="BE15" s="3">
        <v>1874.0</v>
      </c>
      <c r="BF15" s="3">
        <v>1875.0</v>
      </c>
      <c r="BG15" s="3">
        <v>1876.0</v>
      </c>
      <c r="BH15" s="3">
        <v>1877.0</v>
      </c>
      <c r="BI15" s="3">
        <v>1878.0</v>
      </c>
      <c r="BJ15" s="3">
        <v>1879.0</v>
      </c>
      <c r="BK15" s="3">
        <v>1880.0</v>
      </c>
      <c r="BL15" s="3">
        <v>1881.0</v>
      </c>
      <c r="BM15" s="3">
        <v>1882.0</v>
      </c>
      <c r="BN15" s="3">
        <v>1883.0</v>
      </c>
      <c r="BO15" s="3">
        <v>1884.0</v>
      </c>
      <c r="BP15" s="3">
        <v>1885.0</v>
      </c>
      <c r="BQ15" s="3">
        <v>1886.0</v>
      </c>
      <c r="BR15" s="3">
        <v>1887.0</v>
      </c>
      <c r="BS15" s="3">
        <v>1888.0</v>
      </c>
      <c r="BT15" s="3">
        <v>1889.0</v>
      </c>
      <c r="BU15" s="3">
        <v>1890.0</v>
      </c>
      <c r="BV15" s="3">
        <v>1891.0</v>
      </c>
      <c r="BW15" s="3">
        <v>1892.0</v>
      </c>
      <c r="BX15" s="3">
        <v>1893.0</v>
      </c>
      <c r="BY15" s="3">
        <v>1894.0</v>
      </c>
      <c r="BZ15" s="3">
        <v>1895.0</v>
      </c>
      <c r="CA15" s="3">
        <v>1896.0</v>
      </c>
      <c r="CB15" s="3">
        <v>1897.0</v>
      </c>
      <c r="CC15" s="3">
        <v>1898.0</v>
      </c>
      <c r="CD15" s="3">
        <v>1899.0</v>
      </c>
      <c r="CE15" s="3">
        <v>1900.0</v>
      </c>
      <c r="CF15" s="3">
        <v>1901.0</v>
      </c>
      <c r="CG15" s="3">
        <v>1902.0</v>
      </c>
      <c r="CH15" s="3">
        <v>1903.0</v>
      </c>
      <c r="CI15" s="3">
        <v>1904.0</v>
      </c>
      <c r="CJ15" s="3">
        <v>1905.0</v>
      </c>
      <c r="CK15" s="3">
        <v>1906.0</v>
      </c>
      <c r="CL15" s="3">
        <v>1907.0</v>
      </c>
      <c r="CM15" s="3">
        <v>1908.0</v>
      </c>
      <c r="CN15" s="3">
        <v>1909.0</v>
      </c>
      <c r="CO15" s="3">
        <v>1910.0</v>
      </c>
      <c r="CP15" s="3">
        <v>1911.0</v>
      </c>
      <c r="CQ15" s="3">
        <v>1912.0</v>
      </c>
      <c r="CR15" s="3">
        <v>1913.0</v>
      </c>
      <c r="CS15" s="3">
        <v>1914.0</v>
      </c>
      <c r="CT15" s="3">
        <v>1915.0</v>
      </c>
      <c r="CU15" s="3">
        <v>1916.0</v>
      </c>
      <c r="CV15" s="3">
        <v>1917.0</v>
      </c>
      <c r="CW15" s="3">
        <v>1918.0</v>
      </c>
      <c r="CX15" s="3">
        <v>1919.0</v>
      </c>
      <c r="CY15" s="3">
        <v>1920.0</v>
      </c>
      <c r="CZ15" s="3">
        <v>1921.0</v>
      </c>
      <c r="DA15" s="3">
        <v>1922.0</v>
      </c>
      <c r="DB15" s="3">
        <v>1923.0</v>
      </c>
      <c r="DC15" s="3">
        <v>1924.0</v>
      </c>
      <c r="DD15" s="3">
        <v>1925.0</v>
      </c>
      <c r="DE15" s="3">
        <v>1926.0</v>
      </c>
      <c r="DF15" s="3">
        <v>1927.0</v>
      </c>
      <c r="DG15" s="3">
        <v>1928.0</v>
      </c>
      <c r="DH15" s="3">
        <v>1929.0</v>
      </c>
      <c r="DI15" s="3">
        <v>1930.0</v>
      </c>
      <c r="DJ15" s="3">
        <v>1931.0</v>
      </c>
      <c r="DK15" s="3">
        <v>1932.0</v>
      </c>
      <c r="DL15" s="3">
        <v>1933.0</v>
      </c>
      <c r="DM15" s="3">
        <v>1934.0</v>
      </c>
      <c r="DN15" s="3">
        <v>1935.0</v>
      </c>
      <c r="DO15" s="3">
        <v>1936.0</v>
      </c>
      <c r="DP15" s="3">
        <v>1937.0</v>
      </c>
      <c r="DQ15" s="3">
        <v>1938.0</v>
      </c>
      <c r="DR15" s="3">
        <v>1939.0</v>
      </c>
      <c r="DS15" s="3">
        <v>1940.0</v>
      </c>
      <c r="DT15" s="3">
        <v>1941.0</v>
      </c>
      <c r="DU15" s="3">
        <v>1942.0</v>
      </c>
      <c r="DV15" s="3">
        <v>1943.0</v>
      </c>
      <c r="DW15" s="3">
        <v>1944.0</v>
      </c>
      <c r="DX15" s="3">
        <v>1945.0</v>
      </c>
      <c r="DY15" s="3">
        <v>1946.0</v>
      </c>
      <c r="DZ15" s="3">
        <v>1947.0</v>
      </c>
      <c r="EA15" s="3">
        <v>1948.0</v>
      </c>
      <c r="EB15" s="3">
        <v>1949.0</v>
      </c>
      <c r="EC15" s="3">
        <v>1950.0</v>
      </c>
      <c r="ED15" s="3">
        <v>1951.0</v>
      </c>
      <c r="EE15" s="3">
        <v>1952.0</v>
      </c>
      <c r="EF15" s="3">
        <v>1953.0</v>
      </c>
      <c r="EG15" s="3">
        <v>1954.0</v>
      </c>
      <c r="EH15" s="3">
        <v>1955.0</v>
      </c>
      <c r="EI15" s="3">
        <v>1956.0</v>
      </c>
      <c r="EJ15" s="3">
        <v>1957.0</v>
      </c>
      <c r="EK15" s="3">
        <v>1958.0</v>
      </c>
      <c r="EL15" s="3">
        <v>1959.0</v>
      </c>
      <c r="EM15" s="3">
        <v>1960.0</v>
      </c>
      <c r="EN15" s="3">
        <v>1961.0</v>
      </c>
      <c r="EO15" s="3">
        <v>1962.0</v>
      </c>
      <c r="EP15" s="3">
        <v>1963.0</v>
      </c>
      <c r="EQ15" s="3">
        <v>1964.0</v>
      </c>
      <c r="ER15" s="3">
        <v>1965.0</v>
      </c>
      <c r="ES15" s="3">
        <v>1966.0</v>
      </c>
      <c r="ET15" s="3">
        <v>1967.0</v>
      </c>
      <c r="EU15" s="3">
        <v>1968.0</v>
      </c>
      <c r="EV15" s="3">
        <v>1969.0</v>
      </c>
      <c r="EW15" s="3">
        <v>1970.0</v>
      </c>
      <c r="EX15" s="3">
        <v>1971.0</v>
      </c>
      <c r="EY15" s="3">
        <v>1972.0</v>
      </c>
      <c r="EZ15" s="3">
        <v>1973.0</v>
      </c>
      <c r="FA15" s="3">
        <v>1974.0</v>
      </c>
      <c r="FB15" s="3">
        <v>1975.0</v>
      </c>
      <c r="FC15" s="3">
        <v>1976.0</v>
      </c>
      <c r="FD15" s="3">
        <v>1977.0</v>
      </c>
      <c r="FE15" s="3">
        <v>1978.0</v>
      </c>
      <c r="FF15" s="3">
        <v>1979.0</v>
      </c>
      <c r="FG15" s="3">
        <v>1980.0</v>
      </c>
      <c r="FH15" s="3">
        <v>1981.0</v>
      </c>
      <c r="FI15" s="3">
        <v>1982.0</v>
      </c>
      <c r="FJ15" s="3">
        <v>1983.0</v>
      </c>
      <c r="FK15" s="3">
        <v>1984.0</v>
      </c>
      <c r="FL15" s="3">
        <v>1985.0</v>
      </c>
      <c r="FM15" s="3">
        <v>1986.0</v>
      </c>
      <c r="FN15" s="3">
        <v>1987.0</v>
      </c>
      <c r="FO15" s="3">
        <v>1988.0</v>
      </c>
      <c r="FP15" s="3">
        <v>1989.0</v>
      </c>
      <c r="FQ15" s="3">
        <v>1990.0</v>
      </c>
      <c r="FR15" s="3">
        <v>1991.0</v>
      </c>
      <c r="FS15" s="3">
        <v>1992.0</v>
      </c>
      <c r="FT15" s="3">
        <v>1993.0</v>
      </c>
      <c r="FU15" s="3">
        <v>1994.0</v>
      </c>
      <c r="FV15" s="3">
        <v>1995.0</v>
      </c>
      <c r="FW15" s="3">
        <v>1996.0</v>
      </c>
      <c r="FX15" s="3">
        <v>1997.0</v>
      </c>
      <c r="FY15" s="3">
        <v>1998.0</v>
      </c>
      <c r="FZ15" s="3">
        <v>1999.0</v>
      </c>
      <c r="GA15" s="3">
        <v>2000.0</v>
      </c>
      <c r="GB15" s="3">
        <v>2001.0</v>
      </c>
      <c r="GC15" s="3">
        <v>2002.0</v>
      </c>
      <c r="GD15" s="3">
        <v>2003.0</v>
      </c>
      <c r="GE15" s="3">
        <v>2004.0</v>
      </c>
      <c r="GF15" s="3">
        <v>2005.0</v>
      </c>
      <c r="GG15" s="3">
        <v>2006.0</v>
      </c>
      <c r="GH15" s="3">
        <v>2007.0</v>
      </c>
      <c r="GI15" s="3">
        <v>2008.0</v>
      </c>
      <c r="GJ15" s="3">
        <v>2009.0</v>
      </c>
      <c r="GK15" s="3">
        <v>2010.0</v>
      </c>
      <c r="GL15" s="3">
        <v>2011.0</v>
      </c>
      <c r="GM15" s="3">
        <v>2012.0</v>
      </c>
      <c r="GN15" s="3">
        <v>2013.0</v>
      </c>
      <c r="GO15" s="3">
        <v>2014.0</v>
      </c>
      <c r="GP15" s="3">
        <v>2015.0</v>
      </c>
      <c r="GQ15" s="3">
        <v>2016.0</v>
      </c>
      <c r="GR15" s="3">
        <v>2017.0</v>
      </c>
      <c r="GS15" s="3">
        <v>2018.0</v>
      </c>
      <c r="GT15" s="3">
        <v>2019.0</v>
      </c>
      <c r="GU15" s="3">
        <v>2020.0</v>
      </c>
      <c r="GV15" s="1">
        <v>2021.0</v>
      </c>
      <c r="GW15" s="3">
        <v>2022.0</v>
      </c>
      <c r="GX15" s="1">
        <v>2023.0</v>
      </c>
      <c r="GY15" s="3">
        <v>2024.0</v>
      </c>
      <c r="GZ15" s="1">
        <v>2025.0</v>
      </c>
      <c r="HA15" s="3">
        <v>2026.0</v>
      </c>
      <c r="HB15" s="1">
        <v>2027.0</v>
      </c>
      <c r="HC15" s="3">
        <v>2028.0</v>
      </c>
      <c r="HD15" s="1">
        <v>2029.0</v>
      </c>
      <c r="HE15" s="3">
        <v>2030.0</v>
      </c>
      <c r="HF15" s="1">
        <v>2031.0</v>
      </c>
      <c r="HG15" s="3">
        <v>2032.0</v>
      </c>
      <c r="HH15" s="1">
        <v>2033.0</v>
      </c>
      <c r="HI15" s="3">
        <v>2034.0</v>
      </c>
      <c r="HJ15" s="1">
        <v>2035.0</v>
      </c>
      <c r="HK15" s="3">
        <v>2036.0</v>
      </c>
      <c r="HL15" s="1">
        <v>2037.0</v>
      </c>
      <c r="HM15" s="3">
        <v>2038.0</v>
      </c>
      <c r="HN15" s="1">
        <v>2039.0</v>
      </c>
      <c r="HO15" s="3">
        <v>2040.0</v>
      </c>
      <c r="HP15" s="1">
        <v>2041.0</v>
      </c>
      <c r="HQ15" s="3">
        <v>2042.0</v>
      </c>
      <c r="HR15" s="1">
        <v>2043.0</v>
      </c>
      <c r="HS15" s="3">
        <v>2044.0</v>
      </c>
      <c r="HT15" s="1">
        <v>2045.0</v>
      </c>
      <c r="HU15" s="3">
        <v>2046.0</v>
      </c>
      <c r="HV15" s="1">
        <v>2047.0</v>
      </c>
      <c r="HW15" s="3">
        <v>2048.0</v>
      </c>
      <c r="HX15" s="1">
        <v>2049.0</v>
      </c>
      <c r="HY15" s="3">
        <v>2050.0</v>
      </c>
      <c r="HZ15" s="1">
        <v>2051.0</v>
      </c>
      <c r="IA15" s="3">
        <v>2052.0</v>
      </c>
      <c r="IB15" s="1">
        <v>2053.0</v>
      </c>
      <c r="IC15" s="3">
        <v>2054.0</v>
      </c>
      <c r="ID15" s="1">
        <v>2055.0</v>
      </c>
      <c r="IE15" s="3">
        <v>2056.0</v>
      </c>
      <c r="IF15" s="1">
        <v>2057.0</v>
      </c>
      <c r="IG15" s="3">
        <v>2058.0</v>
      </c>
      <c r="IH15" s="1">
        <v>2059.0</v>
      </c>
      <c r="II15" s="3">
        <v>2060.0</v>
      </c>
      <c r="IJ15" s="1">
        <v>2061.0</v>
      </c>
      <c r="IK15" s="3">
        <v>2062.0</v>
      </c>
      <c r="IL15" s="1">
        <v>2063.0</v>
      </c>
      <c r="IM15" s="3">
        <v>2064.0</v>
      </c>
      <c r="IN15" s="1">
        <v>2065.0</v>
      </c>
      <c r="IO15" s="3">
        <v>2066.0</v>
      </c>
      <c r="IP15" s="1">
        <v>2067.0</v>
      </c>
      <c r="IQ15" s="3">
        <v>2068.0</v>
      </c>
      <c r="IR15" s="1">
        <v>2069.0</v>
      </c>
      <c r="IS15" s="3">
        <v>2070.0</v>
      </c>
    </row>
    <row r="16" ht="14.25" customHeight="1">
      <c r="A16" s="7" t="s">
        <v>21</v>
      </c>
      <c r="D16" s="5">
        <v>0.08616217435434759</v>
      </c>
      <c r="E16" s="5">
        <v>-0.03262901048696916</v>
      </c>
      <c r="F16" s="5">
        <v>0.03861325032870905</v>
      </c>
      <c r="G16" s="5">
        <v>0.03407740402004857</v>
      </c>
      <c r="H16" s="5">
        <v>-0.03745159275452842</v>
      </c>
      <c r="I16" s="5">
        <v>0.03262731661734932</v>
      </c>
      <c r="J16" s="5">
        <v>-0.015182364326471106</v>
      </c>
      <c r="K16" s="5">
        <v>-5.360014293371449E-4</v>
      </c>
      <c r="L16" s="5">
        <v>0.03210072015935441</v>
      </c>
      <c r="M16" s="5">
        <v>-0.01880489917109984</v>
      </c>
      <c r="N16" s="5">
        <v>0.018232253183709496</v>
      </c>
      <c r="O16" s="5">
        <v>0.09193124969042547</v>
      </c>
      <c r="P16" s="5">
        <v>-0.01528691313222953</v>
      </c>
      <c r="Q16" s="5">
        <v>0.005689146858301087</v>
      </c>
      <c r="R16" s="5">
        <v>0.03776653001397064</v>
      </c>
      <c r="S16" s="5">
        <v>-0.011233227401129944</v>
      </c>
      <c r="T16" s="5">
        <v>0.019329062785974155</v>
      </c>
      <c r="U16" s="5">
        <v>0.04882962184413935</v>
      </c>
      <c r="V16" s="5">
        <v>-0.031983966262343684</v>
      </c>
      <c r="W16" s="5">
        <v>0.07464360428753208</v>
      </c>
      <c r="X16" s="5">
        <v>0.02442401862406679</v>
      </c>
      <c r="Y16" s="5">
        <v>-0.02178469977470859</v>
      </c>
      <c r="Z16" s="5">
        <v>0.05331143732601686</v>
      </c>
      <c r="AA16" s="5">
        <v>0.0361631333776975</v>
      </c>
      <c r="AB16" s="5">
        <v>-0.030533790850872523</v>
      </c>
      <c r="AC16" s="5">
        <v>0.0024984384759525295</v>
      </c>
      <c r="AD16" s="5">
        <v>0.1102803738317757</v>
      </c>
      <c r="AE16" s="5">
        <v>-0.0613542835765058</v>
      </c>
      <c r="AF16" s="5">
        <v>0.03143229827167651</v>
      </c>
      <c r="AG16" s="5">
        <v>0.019426343245569352</v>
      </c>
      <c r="AH16" s="5">
        <v>-0.014662554489222764</v>
      </c>
      <c r="AI16" s="5">
        <v>0.06545079387284046</v>
      </c>
      <c r="AJ16" s="5">
        <v>-0.048612364806092136</v>
      </c>
      <c r="AK16" s="5">
        <v>0.04819817488657731</v>
      </c>
      <c r="AL16" s="5">
        <v>-0.015157250300347251</v>
      </c>
      <c r="AM16" s="5">
        <v>0.043898933859162464</v>
      </c>
      <c r="AN16" s="5">
        <v>0.05713233763946918</v>
      </c>
      <c r="AO16" s="5">
        <v>0.06976286380568764</v>
      </c>
      <c r="AP16" s="5">
        <v>-0.06510014863047632</v>
      </c>
      <c r="AQ16" s="5">
        <v>0.06860370045120068</v>
      </c>
      <c r="AR16" s="5">
        <v>-0.06266914150502288</v>
      </c>
      <c r="AS16" s="5">
        <v>0.0855277080750975</v>
      </c>
      <c r="AT16" s="5">
        <v>0.0362613490781485</v>
      </c>
      <c r="AU16" s="5">
        <v>0.01128789507632767</v>
      </c>
      <c r="AV16" s="5">
        <v>-0.027891463803550547</v>
      </c>
      <c r="AW16" s="5">
        <v>0.0067526005713738945</v>
      </c>
      <c r="AX16" s="5">
        <v>-0.058967291686467256</v>
      </c>
      <c r="AY16" s="5">
        <v>0.09594851965141109</v>
      </c>
      <c r="AZ16" s="5">
        <v>0.02726506753732326</v>
      </c>
      <c r="BA16" s="5">
        <v>-0.07598442886619079</v>
      </c>
      <c r="BB16" s="5">
        <v>-0.006012024048096049</v>
      </c>
      <c r="BC16" s="5">
        <v>0.09274193548387084</v>
      </c>
      <c r="BD16" s="5">
        <v>-0.07011070110701119</v>
      </c>
      <c r="BE16" s="5">
        <v>0.12698412698412703</v>
      </c>
      <c r="BF16" s="5">
        <v>0.03345070422535226</v>
      </c>
      <c r="BG16" s="5">
        <v>-0.08177172061328801</v>
      </c>
      <c r="BH16" s="5">
        <v>0.05380333951762519</v>
      </c>
      <c r="BI16" s="5">
        <v>-0.012323943661971775</v>
      </c>
      <c r="BJ16" s="5">
        <v>-0.06238859180035639</v>
      </c>
      <c r="BK16" s="5">
        <v>0.08935361216730009</v>
      </c>
      <c r="BL16" s="5">
        <v>0.038394415357766346</v>
      </c>
      <c r="BM16" s="5">
        <v>0.04705882352941171</v>
      </c>
      <c r="BN16" s="5">
        <v>0.0032102728731942527</v>
      </c>
      <c r="BO16" s="5">
        <v>-0.011200000000000107</v>
      </c>
      <c r="BP16" s="5">
        <v>-0.01779935275080891</v>
      </c>
      <c r="BQ16" s="5">
        <v>0.016474464579901146</v>
      </c>
      <c r="BR16" s="5">
        <v>0.00648298217179909</v>
      </c>
      <c r="BS16" s="5">
        <v>0.0096618357487922</v>
      </c>
      <c r="BT16" s="5">
        <v>0.025518341307814916</v>
      </c>
      <c r="BU16" s="5">
        <v>0.023328149300155435</v>
      </c>
      <c r="BV16" s="5">
        <v>0.022796352583586695</v>
      </c>
      <c r="BW16" s="5">
        <v>0.02526002971768212</v>
      </c>
      <c r="BX16" s="5">
        <v>0.017391304347826108</v>
      </c>
      <c r="BY16" s="5">
        <v>0.037037037037036966</v>
      </c>
      <c r="BZ16" s="5">
        <v>-0.020604395604395667</v>
      </c>
      <c r="CA16" s="5">
        <v>0.047685834502103966</v>
      </c>
      <c r="CB16" s="5">
        <v>-0.013386880856760368</v>
      </c>
      <c r="CC16" s="5">
        <v>0.04884667571234714</v>
      </c>
      <c r="CD16" s="5">
        <v>0.05692108667529124</v>
      </c>
      <c r="CE16" s="5">
        <v>-0.011015911872705125</v>
      </c>
      <c r="CF16" s="5">
        <v>-0.016089108910890996</v>
      </c>
      <c r="CG16" s="5">
        <v>-0.016352201257861666</v>
      </c>
      <c r="CH16" s="5">
        <v>0.02173913043478269</v>
      </c>
      <c r="CI16" s="5">
        <v>0.007509386733416717</v>
      </c>
      <c r="CJ16" s="5">
        <v>0.01739130434782613</v>
      </c>
      <c r="CK16" s="5">
        <v>0.018315018315018368</v>
      </c>
      <c r="CL16" s="5">
        <v>0.04316546762589909</v>
      </c>
      <c r="CM16" s="5">
        <v>-0.005747126436781549</v>
      </c>
      <c r="CN16" s="5">
        <v>0.04161849710982641</v>
      </c>
      <c r="CO16" s="5">
        <v>-0.06104328523862368</v>
      </c>
      <c r="CP16" s="5">
        <v>0.0981087470449175</v>
      </c>
      <c r="CQ16" s="5">
        <v>0.08288482238966602</v>
      </c>
      <c r="CR16" s="5">
        <v>-0.005964214711729481</v>
      </c>
      <c r="CS16" s="5">
        <v>-0.07099999999999988</v>
      </c>
      <c r="CT16" s="5">
        <v>-0.02045209903121656</v>
      </c>
      <c r="CU16" s="5">
        <v>0.0505494505494506</v>
      </c>
      <c r="CV16" s="5">
        <v>-0.15271966527196654</v>
      </c>
      <c r="CW16" s="5">
        <v>-0.21111111111111117</v>
      </c>
      <c r="CX16" s="5">
        <v>0.17840375586854462</v>
      </c>
      <c r="CY16" s="5">
        <v>0.15670650730411678</v>
      </c>
      <c r="CZ16" s="5">
        <v>-0.041331802525832205</v>
      </c>
      <c r="DA16" s="5">
        <v>0.1796407185628743</v>
      </c>
      <c r="DB16" s="5">
        <v>0.051776649746192775</v>
      </c>
      <c r="DC16" s="5">
        <v>0.12548262548262554</v>
      </c>
      <c r="DD16" s="5">
        <v>0.004288164665523024</v>
      </c>
      <c r="DE16" s="5">
        <v>0.026473099914603164</v>
      </c>
      <c r="DF16" s="5">
        <v>-0.020798668885191378</v>
      </c>
      <c r="DG16" s="5">
        <v>0.06966864910790142</v>
      </c>
      <c r="DH16" s="5">
        <v>0.06751389992057188</v>
      </c>
      <c r="DI16" s="5">
        <v>-0.029017857142857272</v>
      </c>
      <c r="DJ16" s="5">
        <v>-0.0597701149425287</v>
      </c>
      <c r="DK16" s="5">
        <v>-0.06519967400162997</v>
      </c>
      <c r="DL16" s="5">
        <v>0.07149084568439423</v>
      </c>
      <c r="DM16" s="5">
        <v>-0.009764035801464697</v>
      </c>
      <c r="DN16" s="5">
        <v>-0.025472473294987752</v>
      </c>
      <c r="DO16" s="5">
        <v>0.037942664418212334</v>
      </c>
      <c r="DP16" s="5">
        <v>0.05767668562144589</v>
      </c>
      <c r="DQ16" s="5">
        <v>-0.00384024577572953</v>
      </c>
      <c r="DR16" s="5">
        <v>0.07170393215111805</v>
      </c>
      <c r="DS16" s="5">
        <v>-0.17482014388489203</v>
      </c>
      <c r="DT16" s="5">
        <v>-0.20924149956408022</v>
      </c>
      <c r="DU16" s="5">
        <v>-0.10363836824696813</v>
      </c>
      <c r="DV16" s="5">
        <v>-0.05043050430504292</v>
      </c>
      <c r="DW16" s="5">
        <v>-0.15544041450777196</v>
      </c>
      <c r="DX16" s="5">
        <v>0.08435582822085894</v>
      </c>
      <c r="DY16" s="5">
        <v>0.5205091937765202</v>
      </c>
      <c r="DZ16" s="5">
        <v>0.08372093023255821</v>
      </c>
      <c r="EA16" s="5">
        <v>0.07296137339055796</v>
      </c>
      <c r="EB16" s="5">
        <v>0.13600000000000004</v>
      </c>
      <c r="EC16" s="5">
        <v>0.0856561745816649</v>
      </c>
      <c r="ED16" s="5">
        <v>0.0579152057510074</v>
      </c>
      <c r="EE16" s="5">
        <v>0.031140340643001897</v>
      </c>
      <c r="EF16" s="5">
        <v>0.0345622996112203</v>
      </c>
      <c r="EG16" s="5">
        <v>0.05578320216975689</v>
      </c>
      <c r="EH16" s="5">
        <v>0.0531187150812929</v>
      </c>
      <c r="EI16" s="5">
        <v>0.049878537067477795</v>
      </c>
      <c r="EJ16" s="5">
        <v>0.0551671400223311</v>
      </c>
      <c r="EK16" s="5">
        <v>0.0269571385179235</v>
      </c>
      <c r="EL16" s="5">
        <v>0.026714248060295497</v>
      </c>
      <c r="EM16" s="5">
        <v>0.07991952490657671</v>
      </c>
      <c r="EN16" s="5">
        <v>0.049801328654922095</v>
      </c>
      <c r="EO16" s="5">
        <v>0.0684353498941024</v>
      </c>
      <c r="EP16" s="5">
        <v>0.0623355624094208</v>
      </c>
      <c r="EQ16" s="5">
        <v>0.0665220075230069</v>
      </c>
      <c r="ER16" s="5">
        <v>0.0486142661591403</v>
      </c>
      <c r="ES16" s="5">
        <v>0.0525183358534413</v>
      </c>
      <c r="ET16" s="5">
        <v>0.0492123129139564</v>
      </c>
      <c r="EU16" s="5">
        <v>0.044913189703072794</v>
      </c>
      <c r="EV16" s="5">
        <v>0.0710945009049206</v>
      </c>
      <c r="EW16" s="5">
        <v>0.0610867761617023</v>
      </c>
      <c r="EX16" s="5">
        <v>0.0531675290605666</v>
      </c>
      <c r="EY16" s="5">
        <v>0.045113716279087904</v>
      </c>
      <c r="EZ16" s="5">
        <v>0.06344564864869269</v>
      </c>
      <c r="FA16" s="5">
        <v>0.0430084071012452</v>
      </c>
      <c r="FB16" s="5">
        <v>-0.00959867329154789</v>
      </c>
      <c r="FC16" s="5">
        <v>0.043567555213388995</v>
      </c>
      <c r="FD16" s="5">
        <v>0.0346429235913467</v>
      </c>
      <c r="FE16" s="5">
        <v>0.039785494684844595</v>
      </c>
      <c r="FF16" s="5">
        <v>0.0355000037634591</v>
      </c>
      <c r="FG16" s="5">
        <v>0.0157880122754374</v>
      </c>
      <c r="FH16" s="5">
        <v>0.010690127567096702</v>
      </c>
      <c r="FI16" s="5">
        <v>0.0250536136560163</v>
      </c>
      <c r="FJ16" s="5">
        <v>0.012408529155249799</v>
      </c>
      <c r="FK16" s="5">
        <v>0.015137078700601</v>
      </c>
      <c r="FL16" s="5">
        <v>0.016228216501733</v>
      </c>
      <c r="FM16" s="5">
        <v>0.023372356023937998</v>
      </c>
      <c r="FN16" s="5">
        <v>0.0256190869406679</v>
      </c>
      <c r="FO16" s="5">
        <v>0.0474318506127023</v>
      </c>
      <c r="FP16" s="5">
        <v>0.0434381995889572</v>
      </c>
      <c r="FQ16" s="5">
        <v>0.0292395174185515</v>
      </c>
      <c r="FR16" s="5">
        <v>0.010481802223058001</v>
      </c>
      <c r="FS16" s="5">
        <v>0.0159934649977294</v>
      </c>
      <c r="FT16" s="5">
        <v>-0.006286588469088739</v>
      </c>
      <c r="FU16" s="5">
        <v>0.0235837174390399</v>
      </c>
      <c r="FV16" s="5">
        <v>0.021066514052863</v>
      </c>
      <c r="FW16" s="5">
        <v>0.0141299601530085</v>
      </c>
      <c r="FX16" s="5">
        <v>0.0233632936675067</v>
      </c>
      <c r="FY16" s="5">
        <v>0.035886293379513996</v>
      </c>
      <c r="FZ16" s="5">
        <v>0.0342135235980006</v>
      </c>
      <c r="GA16" s="5">
        <v>0.0392371245576191</v>
      </c>
      <c r="GB16" s="5">
        <v>0.0198371211462977</v>
      </c>
      <c r="GC16" s="5">
        <v>0.011355417436923301</v>
      </c>
      <c r="GD16" s="5">
        <v>0.00823122997395163</v>
      </c>
      <c r="GE16" s="5">
        <v>0.0282979658451117</v>
      </c>
      <c r="GF16" s="5">
        <v>0.0166318213006728</v>
      </c>
      <c r="GG16" s="5">
        <v>0.0244934540139417</v>
      </c>
      <c r="GH16" s="5">
        <v>0.024247397856177598</v>
      </c>
      <c r="GI16" s="5">
        <v>0.0025493676773191997</v>
      </c>
      <c r="GJ16" s="5">
        <v>-0.028733254071544798</v>
      </c>
      <c r="GK16" s="5">
        <v>0.0194945890344995</v>
      </c>
      <c r="GL16" s="5">
        <v>0.0219267971584139</v>
      </c>
      <c r="GM16" s="5">
        <v>0.0031316447000194</v>
      </c>
      <c r="GN16" s="5">
        <v>0.00576323570182615</v>
      </c>
      <c r="GO16" s="5">
        <v>0.00956168723899057</v>
      </c>
      <c r="GP16" s="5">
        <v>0.0111291234158153</v>
      </c>
      <c r="GQ16" s="5">
        <v>0.0109546258424186</v>
      </c>
      <c r="GR16" s="5">
        <v>0.022914075239164902</v>
      </c>
      <c r="GS16" s="5">
        <v>0.018000000000000002</v>
      </c>
      <c r="GT16" s="5">
        <v>0.015</v>
      </c>
      <c r="GU16" s="5">
        <v>-0.08199999999999999</v>
      </c>
      <c r="GV16" s="5">
        <v>0.05</v>
      </c>
      <c r="GW16" s="5">
        <v>0.04</v>
      </c>
      <c r="GX16" s="5">
        <v>0.023</v>
      </c>
      <c r="GY16" s="5">
        <v>0.016</v>
      </c>
      <c r="GZ16" s="5">
        <v>0.013999999999999999</v>
      </c>
      <c r="HA16" s="5">
        <v>0.013999999999999999</v>
      </c>
      <c r="HB16" s="5">
        <v>0.013999999999999999</v>
      </c>
    </row>
    <row r="17" ht="14.25" customHeight="1">
      <c r="A17" s="7" t="s">
        <v>22</v>
      </c>
      <c r="D17" s="5">
        <v>0.08616217435434759</v>
      </c>
      <c r="E17" s="5">
        <v>-0.03262901048696916</v>
      </c>
      <c r="F17" s="5">
        <v>0.03861325032870905</v>
      </c>
      <c r="G17" s="5">
        <v>0.03407740402004857</v>
      </c>
      <c r="H17" s="5">
        <v>-0.03745159275452842</v>
      </c>
      <c r="I17" s="5">
        <v>0.03262731661734932</v>
      </c>
      <c r="J17" s="5">
        <v>-0.015182364326471106</v>
      </c>
      <c r="K17" s="5">
        <v>-5.360014293371449E-4</v>
      </c>
      <c r="L17" s="5">
        <v>0.03210072015935441</v>
      </c>
      <c r="M17" s="5">
        <v>-0.01880489917109984</v>
      </c>
      <c r="N17" s="5">
        <v>0.018232253183709496</v>
      </c>
      <c r="O17" s="5">
        <v>0.09193124969042547</v>
      </c>
      <c r="P17" s="5">
        <v>-0.01528691313222953</v>
      </c>
      <c r="Q17" s="5">
        <v>0.005689146858301087</v>
      </c>
      <c r="R17" s="5">
        <v>0.03776653001397064</v>
      </c>
      <c r="S17" s="5">
        <v>-0.011233227401129944</v>
      </c>
      <c r="T17" s="5">
        <v>0.019329062785974155</v>
      </c>
      <c r="U17" s="5">
        <v>0.04882962184413935</v>
      </c>
      <c r="V17" s="5">
        <v>-0.031983966262343684</v>
      </c>
      <c r="W17" s="5">
        <v>0.07464360428753208</v>
      </c>
      <c r="X17" s="5">
        <v>0.02442401862406679</v>
      </c>
      <c r="Y17" s="5">
        <v>-0.02178469977470859</v>
      </c>
      <c r="Z17" s="5">
        <v>0.05331143732601686</v>
      </c>
      <c r="AA17" s="5">
        <v>0.0361631333776975</v>
      </c>
      <c r="AB17" s="5">
        <v>-0.030533790850872523</v>
      </c>
      <c r="AC17" s="5">
        <v>0.0024984384759525295</v>
      </c>
      <c r="AD17" s="5">
        <v>0.1102803738317757</v>
      </c>
      <c r="AE17" s="5">
        <v>-0.0613542835765058</v>
      </c>
      <c r="AF17" s="5">
        <v>0.03143229827167651</v>
      </c>
      <c r="AG17" s="5">
        <v>0.019426343245569352</v>
      </c>
      <c r="AH17" s="5">
        <v>-0.014662554489222764</v>
      </c>
      <c r="AI17" s="5">
        <v>0.06545079387284046</v>
      </c>
      <c r="AJ17" s="5">
        <v>-0.048612364806092136</v>
      </c>
      <c r="AK17" s="5">
        <v>0.04819817488657731</v>
      </c>
      <c r="AL17" s="5">
        <v>-0.015157250300347251</v>
      </c>
      <c r="AM17" s="5">
        <v>0.043898933859162464</v>
      </c>
      <c r="AN17" s="5">
        <v>0.05713233763946918</v>
      </c>
      <c r="AO17" s="5">
        <v>0.06976286380568764</v>
      </c>
      <c r="AP17" s="5">
        <v>-0.06510014863047632</v>
      </c>
      <c r="AQ17" s="5">
        <v>0.06860370045120068</v>
      </c>
      <c r="AR17" s="5">
        <v>-0.06266914150502288</v>
      </c>
      <c r="AS17" s="5">
        <v>0.0855277080750975</v>
      </c>
      <c r="AT17" s="5">
        <v>0.0362613490781485</v>
      </c>
      <c r="AU17" s="5">
        <v>0.01128789507632767</v>
      </c>
      <c r="AV17" s="5">
        <v>-0.027891463803550547</v>
      </c>
      <c r="AW17" s="5">
        <v>0.0067526005713738945</v>
      </c>
      <c r="AX17" s="5">
        <v>-0.058967291686467256</v>
      </c>
      <c r="AY17" s="5">
        <v>0.09594851965141109</v>
      </c>
      <c r="AZ17" s="5">
        <v>0.02726506753732326</v>
      </c>
      <c r="BA17" s="5">
        <v>-0.07598442886619079</v>
      </c>
      <c r="BB17" s="5">
        <v>-0.006012024048096049</v>
      </c>
      <c r="BC17" s="5">
        <v>0.09274193548387084</v>
      </c>
      <c r="BD17" s="5">
        <v>-0.07011070110701119</v>
      </c>
      <c r="BE17" s="5">
        <v>0.12698412698412703</v>
      </c>
      <c r="BF17" s="5">
        <v>0.03345070422535226</v>
      </c>
      <c r="BG17" s="5">
        <v>-0.08177172061328801</v>
      </c>
      <c r="BH17" s="5">
        <v>0.05380333951762519</v>
      </c>
      <c r="BI17" s="5">
        <v>-0.012323943661971775</v>
      </c>
      <c r="BJ17" s="5">
        <v>-0.06238859180035639</v>
      </c>
      <c r="BK17" s="5">
        <v>0.08935361216730009</v>
      </c>
      <c r="BL17" s="5">
        <v>0.038394415357766346</v>
      </c>
      <c r="BM17" s="5">
        <v>0.04705882352941171</v>
      </c>
      <c r="BN17" s="5">
        <v>0.0032102728731942527</v>
      </c>
      <c r="BO17" s="5">
        <v>-0.011200000000000107</v>
      </c>
      <c r="BP17" s="5">
        <v>-0.01779935275080891</v>
      </c>
      <c r="BQ17" s="5">
        <v>0.016474464579901146</v>
      </c>
      <c r="BR17" s="5">
        <v>0.00648298217179909</v>
      </c>
      <c r="BS17" s="5">
        <v>0.0096618357487922</v>
      </c>
      <c r="BT17" s="5">
        <v>0.025518341307814916</v>
      </c>
      <c r="BU17" s="5">
        <v>0.023328149300155435</v>
      </c>
      <c r="BV17" s="5">
        <v>0.022796352583586695</v>
      </c>
      <c r="BW17" s="5">
        <v>0.02526002971768212</v>
      </c>
      <c r="BX17" s="5">
        <v>0.017391304347826108</v>
      </c>
      <c r="BY17" s="5">
        <v>0.037037037037036966</v>
      </c>
      <c r="BZ17" s="5">
        <v>-0.020604395604395667</v>
      </c>
      <c r="CA17" s="5">
        <v>0.047685834502103966</v>
      </c>
      <c r="CB17" s="5">
        <v>-0.013386880856760368</v>
      </c>
      <c r="CC17" s="5">
        <v>0.04884667571234714</v>
      </c>
      <c r="CD17" s="5">
        <v>0.05692108667529124</v>
      </c>
      <c r="CE17" s="5">
        <v>-0.011015911872705125</v>
      </c>
      <c r="CF17" s="5">
        <v>-0.016089108910890996</v>
      </c>
      <c r="CG17" s="5">
        <v>-0.016352201257861666</v>
      </c>
      <c r="CH17" s="5">
        <v>0.02173913043478269</v>
      </c>
      <c r="CI17" s="5">
        <v>0.007509386733416717</v>
      </c>
      <c r="CJ17" s="5">
        <v>0.01739130434782613</v>
      </c>
      <c r="CK17" s="5">
        <v>0.018315018315018368</v>
      </c>
      <c r="CL17" s="5">
        <v>0.04316546762589909</v>
      </c>
      <c r="CM17" s="5">
        <v>-0.005747126436781549</v>
      </c>
      <c r="CN17" s="5">
        <v>0.04161849710982641</v>
      </c>
      <c r="CO17" s="5">
        <v>-0.06104328523862368</v>
      </c>
      <c r="CP17" s="5">
        <v>0.0981087470449175</v>
      </c>
      <c r="CQ17" s="5">
        <v>0.08288482238966602</v>
      </c>
      <c r="CR17" s="5">
        <v>-0.005964214711729481</v>
      </c>
      <c r="CS17" s="5">
        <v>-0.07099999999999988</v>
      </c>
      <c r="CT17" s="5">
        <v>-0.02045209903121656</v>
      </c>
      <c r="CU17" s="5">
        <v>0.0505494505494506</v>
      </c>
      <c r="CV17" s="5">
        <v>-0.15271966527196654</v>
      </c>
      <c r="CW17" s="5">
        <v>-0.21111111111111117</v>
      </c>
      <c r="CX17" s="5">
        <v>0.17840375586854462</v>
      </c>
      <c r="CY17" s="5">
        <v>0.15670650730411678</v>
      </c>
      <c r="CZ17" s="5">
        <v>-0.041331802525832205</v>
      </c>
      <c r="DA17" s="5">
        <v>0.1796407185628743</v>
      </c>
      <c r="DB17" s="5">
        <v>0.051776649746192775</v>
      </c>
      <c r="DC17" s="5">
        <v>0.12548262548262554</v>
      </c>
      <c r="DD17" s="5">
        <v>0.004288164665523024</v>
      </c>
      <c r="DE17" s="5">
        <v>0.026473099914603164</v>
      </c>
      <c r="DF17" s="5">
        <v>-0.020798668885191378</v>
      </c>
      <c r="DG17" s="5">
        <v>0.06966864910790142</v>
      </c>
      <c r="DH17" s="5">
        <v>0.06751389992057188</v>
      </c>
      <c r="DI17" s="5">
        <v>-0.029017857142857272</v>
      </c>
      <c r="DJ17" s="5">
        <v>-0.0597701149425287</v>
      </c>
      <c r="DK17" s="5">
        <v>-0.06519967400162997</v>
      </c>
      <c r="DL17" s="5">
        <v>0.07149084568439423</v>
      </c>
      <c r="DM17" s="5">
        <v>-0.009764035801464697</v>
      </c>
      <c r="DN17" s="5">
        <v>-0.025472473294987752</v>
      </c>
      <c r="DO17" s="5">
        <v>0.037942664418212334</v>
      </c>
      <c r="DP17" s="5">
        <v>0.05767668562144589</v>
      </c>
      <c r="DQ17" s="5">
        <v>-0.00384024577572953</v>
      </c>
      <c r="DR17" s="5">
        <v>0.07170393215111805</v>
      </c>
      <c r="DS17" s="5">
        <v>-0.17482014388489203</v>
      </c>
      <c r="DT17" s="5">
        <v>-0.20924149956408022</v>
      </c>
      <c r="DU17" s="5">
        <v>-0.10363836824696813</v>
      </c>
      <c r="DV17" s="5">
        <v>-0.05043050430504292</v>
      </c>
      <c r="DW17" s="5">
        <v>-0.15544041450777196</v>
      </c>
      <c r="DX17" s="5">
        <v>0.08435582822085894</v>
      </c>
      <c r="DY17" s="5">
        <v>0.5205091937765202</v>
      </c>
      <c r="DZ17" s="5">
        <v>0.08372093023255821</v>
      </c>
      <c r="EA17" s="5">
        <v>0.07296137339055796</v>
      </c>
      <c r="EB17" s="5">
        <v>0.13600000000000004</v>
      </c>
      <c r="EC17" s="5">
        <v>0.0856561745816649</v>
      </c>
      <c r="ED17" s="5">
        <v>0.0579152057510074</v>
      </c>
      <c r="EE17" s="5">
        <v>0.031140340643001897</v>
      </c>
      <c r="EF17" s="5">
        <v>0.0345622996112203</v>
      </c>
      <c r="EG17" s="5">
        <v>0.05578320216975689</v>
      </c>
      <c r="EH17" s="5">
        <v>0.0531187150812929</v>
      </c>
      <c r="EI17" s="5">
        <v>0.049878537067477795</v>
      </c>
      <c r="EJ17" s="5">
        <v>0.0551671400223311</v>
      </c>
      <c r="EK17" s="5">
        <v>0.0269571385179235</v>
      </c>
      <c r="EL17" s="5">
        <v>0.026714248060295497</v>
      </c>
      <c r="EM17" s="5">
        <v>0.07991952490657671</v>
      </c>
      <c r="EN17" s="5">
        <v>0.049801328654922095</v>
      </c>
      <c r="EO17" s="5">
        <v>0.0684353498941024</v>
      </c>
      <c r="EP17" s="5">
        <v>0.0623355624094208</v>
      </c>
      <c r="EQ17" s="5">
        <v>0.0665220075230069</v>
      </c>
      <c r="ER17" s="5">
        <v>0.0486142661591403</v>
      </c>
      <c r="ES17" s="5">
        <v>0.0525183358534413</v>
      </c>
      <c r="ET17" s="5">
        <v>0.0492123129139564</v>
      </c>
      <c r="EU17" s="5">
        <v>0.044913189703072794</v>
      </c>
      <c r="EV17" s="5">
        <v>0.0710945009049206</v>
      </c>
      <c r="EW17" s="5">
        <v>0.0610867761617023</v>
      </c>
      <c r="EX17" s="5">
        <v>0.0531675290605666</v>
      </c>
      <c r="EY17" s="5">
        <v>0.045113716279087904</v>
      </c>
      <c r="EZ17" s="5">
        <v>0.06344564864869269</v>
      </c>
      <c r="FA17" s="5">
        <v>0.0430084071012452</v>
      </c>
      <c r="FB17" s="5">
        <v>-0.00959867329154789</v>
      </c>
      <c r="FC17" s="5">
        <v>0.043567555213388995</v>
      </c>
      <c r="FD17" s="5">
        <v>0.0346429235913467</v>
      </c>
      <c r="FE17" s="5">
        <v>0.039785494684844595</v>
      </c>
      <c r="FF17" s="5">
        <v>0.0355000037634591</v>
      </c>
      <c r="FG17" s="5">
        <v>0.0157880122754374</v>
      </c>
      <c r="FH17" s="5">
        <v>0.010690127567096702</v>
      </c>
      <c r="FI17" s="5">
        <v>0.0250536136560163</v>
      </c>
      <c r="FJ17" s="5">
        <v>0.012408529155249799</v>
      </c>
      <c r="FK17" s="5">
        <v>0.015137078700601</v>
      </c>
      <c r="FL17" s="5">
        <v>0.016228216501733</v>
      </c>
      <c r="FM17" s="5">
        <v>0.023372356023937998</v>
      </c>
      <c r="FN17" s="5">
        <v>0.0256190869406679</v>
      </c>
      <c r="FO17" s="5">
        <v>0.0474318506127023</v>
      </c>
      <c r="FP17" s="5">
        <v>0.0434381995889572</v>
      </c>
      <c r="FQ17" s="5">
        <v>0.0292395174185515</v>
      </c>
      <c r="FR17" s="5">
        <v>0.010481802223058001</v>
      </c>
      <c r="FS17" s="5">
        <v>0.0159934649977294</v>
      </c>
      <c r="FT17" s="5">
        <v>-0.006286588469088739</v>
      </c>
      <c r="FU17" s="5">
        <v>0.0235837174390399</v>
      </c>
      <c r="FV17" s="5">
        <v>0.021066514052863</v>
      </c>
      <c r="FW17" s="5">
        <v>0.0141299601530085</v>
      </c>
      <c r="FX17" s="5">
        <v>0.0233632936675067</v>
      </c>
      <c r="FY17" s="5">
        <v>0.035886293379513996</v>
      </c>
      <c r="FZ17" s="5">
        <v>0.0342135235980006</v>
      </c>
      <c r="GA17" s="5">
        <v>0.0392371245576191</v>
      </c>
      <c r="GB17" s="5">
        <v>0.0198371211462977</v>
      </c>
      <c r="GC17" s="5">
        <v>0.011355417436923301</v>
      </c>
      <c r="GD17" s="5">
        <v>0.00823122997395163</v>
      </c>
      <c r="GE17" s="5">
        <v>0.0282979658451117</v>
      </c>
      <c r="GF17" s="5">
        <v>0.0166318213006728</v>
      </c>
      <c r="GG17" s="5">
        <v>0.0244934540139417</v>
      </c>
      <c r="GH17" s="5">
        <v>0.024247397856177598</v>
      </c>
      <c r="GI17" s="5">
        <v>0.0025493676773191997</v>
      </c>
      <c r="GJ17" s="5">
        <v>-0.028733254071544798</v>
      </c>
      <c r="GK17" s="5">
        <v>0.0194945890344995</v>
      </c>
      <c r="GL17" s="5">
        <v>0.0219267971584139</v>
      </c>
      <c r="GM17" s="5">
        <v>0.0031316447000194</v>
      </c>
      <c r="GN17" s="5">
        <v>0.00576323570182615</v>
      </c>
      <c r="GO17" s="5">
        <v>0.00956168723899057</v>
      </c>
      <c r="GP17" s="5">
        <v>0.0111291234158153</v>
      </c>
      <c r="GQ17" s="5">
        <v>0.0109546258424186</v>
      </c>
      <c r="GR17" s="5">
        <v>0.022914075239164902</v>
      </c>
      <c r="GS17" s="5">
        <v>0.018000000000000002</v>
      </c>
      <c r="GT17" s="5">
        <v>0.015</v>
      </c>
      <c r="GU17" s="5">
        <v>-0.08199999999999999</v>
      </c>
      <c r="GV17" s="5">
        <v>0.05</v>
      </c>
      <c r="GW17" s="5">
        <v>0.04</v>
      </c>
      <c r="GX17" s="5">
        <v>0.023</v>
      </c>
      <c r="GY17" s="5">
        <v>0.016</v>
      </c>
      <c r="GZ17" s="5">
        <v>0.013999999999999999</v>
      </c>
      <c r="HA17" s="5">
        <v>0.013999999999999999</v>
      </c>
      <c r="HB17" s="5">
        <v>0.013999999999999999</v>
      </c>
      <c r="HC17" s="5">
        <v>0.017</v>
      </c>
      <c r="HD17" s="5">
        <v>0.017</v>
      </c>
      <c r="HE17" s="5">
        <v>0.017</v>
      </c>
      <c r="HF17" s="5">
        <v>0.017</v>
      </c>
      <c r="HG17" s="5">
        <v>0.019</v>
      </c>
      <c r="HH17" s="5">
        <v>0.019</v>
      </c>
      <c r="HI17" s="5">
        <v>0.019</v>
      </c>
      <c r="HJ17" s="5">
        <v>0.019</v>
      </c>
      <c r="HK17" s="5">
        <v>0.019</v>
      </c>
      <c r="HL17" s="5">
        <v>0.019</v>
      </c>
      <c r="HM17" s="5">
        <v>0.019</v>
      </c>
      <c r="HN17" s="5">
        <v>0.019</v>
      </c>
      <c r="HO17" s="5">
        <v>0.019</v>
      </c>
      <c r="HP17" s="5">
        <v>0.017</v>
      </c>
      <c r="HQ17" s="5">
        <v>0.017</v>
      </c>
      <c r="HR17" s="5">
        <v>0.017</v>
      </c>
      <c r="HS17" s="5">
        <v>0.017</v>
      </c>
      <c r="HT17" s="5">
        <v>0.017</v>
      </c>
      <c r="HU17" s="5">
        <v>0.017</v>
      </c>
      <c r="HV17" s="5">
        <v>0.017</v>
      </c>
      <c r="HW17" s="5">
        <v>0.017</v>
      </c>
      <c r="HX17" s="5">
        <v>0.017</v>
      </c>
      <c r="HY17" s="5">
        <v>0.017</v>
      </c>
      <c r="HZ17" s="5">
        <v>0.017</v>
      </c>
      <c r="IA17" s="5">
        <v>0.017</v>
      </c>
      <c r="IB17" s="5">
        <v>0.017</v>
      </c>
      <c r="IC17" s="5">
        <v>0.017</v>
      </c>
      <c r="ID17" s="5">
        <v>0.017</v>
      </c>
      <c r="IE17" s="5">
        <v>0.017</v>
      </c>
      <c r="IF17" s="5">
        <v>0.017</v>
      </c>
      <c r="IG17" s="5">
        <v>0.017</v>
      </c>
      <c r="IH17" s="5">
        <v>0.017</v>
      </c>
      <c r="II17" s="5">
        <v>0.017</v>
      </c>
      <c r="IJ17" s="5">
        <v>0.017</v>
      </c>
      <c r="IK17" s="5">
        <v>0.017</v>
      </c>
      <c r="IL17" s="5">
        <v>0.017</v>
      </c>
      <c r="IM17" s="5">
        <v>0.017</v>
      </c>
      <c r="IN17" s="5">
        <v>0.017</v>
      </c>
      <c r="IO17" s="5">
        <v>0.017</v>
      </c>
      <c r="IP17" s="5">
        <v>0.017</v>
      </c>
      <c r="IQ17" s="5">
        <v>0.017</v>
      </c>
      <c r="IR17" s="5">
        <v>0.017</v>
      </c>
      <c r="IS17" s="5">
        <v>0.017</v>
      </c>
    </row>
    <row r="18" ht="14.25" customHeight="1">
      <c r="A18" s="4" t="s">
        <v>23</v>
      </c>
      <c r="D18" s="5">
        <v>0.08616217435434759</v>
      </c>
      <c r="E18" s="5">
        <v>-0.03262901048696916</v>
      </c>
      <c r="F18" s="5">
        <v>0.03861325032870905</v>
      </c>
      <c r="G18" s="5">
        <v>0.03407740402004857</v>
      </c>
      <c r="H18" s="5">
        <v>-0.03745159275452842</v>
      </c>
      <c r="I18" s="5">
        <v>0.03262731661734932</v>
      </c>
      <c r="J18" s="5">
        <v>-0.015182364326471106</v>
      </c>
      <c r="K18" s="5">
        <v>-5.360014293371449E-4</v>
      </c>
      <c r="L18" s="5">
        <v>0.03210072015935441</v>
      </c>
      <c r="M18" s="5">
        <v>-0.01880489917109984</v>
      </c>
      <c r="N18" s="5">
        <v>0.018232253183709496</v>
      </c>
      <c r="O18" s="5">
        <v>0.09193124969042547</v>
      </c>
      <c r="P18" s="5">
        <v>-0.01528691313222953</v>
      </c>
      <c r="Q18" s="5">
        <v>0.005689146858301087</v>
      </c>
      <c r="R18" s="5">
        <v>0.03776653001397064</v>
      </c>
      <c r="S18" s="5">
        <v>-0.011233227401129944</v>
      </c>
      <c r="T18" s="5">
        <v>0.019329062785974155</v>
      </c>
      <c r="U18" s="5">
        <v>0.04882962184413935</v>
      </c>
      <c r="V18" s="5">
        <v>-0.031983966262343684</v>
      </c>
      <c r="W18" s="5">
        <v>0.07464360428753208</v>
      </c>
      <c r="X18" s="5">
        <v>0.02442401862406679</v>
      </c>
      <c r="Y18" s="5">
        <v>-0.02178469977470859</v>
      </c>
      <c r="Z18" s="5">
        <v>0.05331143732601686</v>
      </c>
      <c r="AA18" s="5">
        <v>0.0361631333776975</v>
      </c>
      <c r="AB18" s="5">
        <v>-0.030533790850872523</v>
      </c>
      <c r="AC18" s="5">
        <v>0.0024984384759525295</v>
      </c>
      <c r="AD18" s="5">
        <v>0.1102803738317757</v>
      </c>
      <c r="AE18" s="5">
        <v>-0.0613542835765058</v>
      </c>
      <c r="AF18" s="5">
        <v>0.03143229827167651</v>
      </c>
      <c r="AG18" s="5">
        <v>0.019426343245569352</v>
      </c>
      <c r="AH18" s="5">
        <v>-0.014662554489222764</v>
      </c>
      <c r="AI18" s="5">
        <v>0.06545079387284046</v>
      </c>
      <c r="AJ18" s="5">
        <v>-0.048612364806092136</v>
      </c>
      <c r="AK18" s="5">
        <v>0.04819817488657731</v>
      </c>
      <c r="AL18" s="5">
        <v>-0.015157250300347251</v>
      </c>
      <c r="AM18" s="5">
        <v>0.043898933859162464</v>
      </c>
      <c r="AN18" s="5">
        <v>0.05713233763946918</v>
      </c>
      <c r="AO18" s="5">
        <v>0.06976286380568764</v>
      </c>
      <c r="AP18" s="5">
        <v>-0.06510014863047632</v>
      </c>
      <c r="AQ18" s="5">
        <v>0.06860370045120068</v>
      </c>
      <c r="AR18" s="5">
        <v>-0.06266914150502288</v>
      </c>
      <c r="AS18" s="5">
        <v>0.0855277080750975</v>
      </c>
      <c r="AT18" s="5">
        <v>0.0362613490781485</v>
      </c>
      <c r="AU18" s="5">
        <v>0.01128789507632767</v>
      </c>
      <c r="AV18" s="5">
        <v>-0.027891463803550547</v>
      </c>
      <c r="AW18" s="5">
        <v>0.0067526005713738945</v>
      </c>
      <c r="AX18" s="5">
        <v>-0.058967291686467256</v>
      </c>
      <c r="AY18" s="5">
        <v>0.09594851965141109</v>
      </c>
      <c r="AZ18" s="5">
        <v>0.02726506753732326</v>
      </c>
      <c r="BA18" s="5">
        <v>-0.07598442886619079</v>
      </c>
      <c r="BB18" s="5">
        <v>-0.006012024048096049</v>
      </c>
      <c r="BC18" s="5">
        <v>0.09274193548387084</v>
      </c>
      <c r="BD18" s="5">
        <v>-0.07011070110701119</v>
      </c>
      <c r="BE18" s="5">
        <v>0.12698412698412703</v>
      </c>
      <c r="BF18" s="5">
        <v>0.03345070422535226</v>
      </c>
      <c r="BG18" s="5">
        <v>-0.08177172061328801</v>
      </c>
      <c r="BH18" s="5">
        <v>0.05380333951762519</v>
      </c>
      <c r="BI18" s="5">
        <v>-0.012323943661971775</v>
      </c>
      <c r="BJ18" s="5">
        <v>-0.06238859180035639</v>
      </c>
      <c r="BK18" s="5">
        <v>0.08935361216730009</v>
      </c>
      <c r="BL18" s="5">
        <v>0.038394415357766346</v>
      </c>
      <c r="BM18" s="5">
        <v>0.04705882352941171</v>
      </c>
      <c r="BN18" s="5">
        <v>0.0032102728731942527</v>
      </c>
      <c r="BO18" s="5">
        <v>-0.011200000000000107</v>
      </c>
      <c r="BP18" s="5">
        <v>-0.01779935275080891</v>
      </c>
      <c r="BQ18" s="5">
        <v>0.016474464579901146</v>
      </c>
      <c r="BR18" s="5">
        <v>0.00648298217179909</v>
      </c>
      <c r="BS18" s="5">
        <v>0.0096618357487922</v>
      </c>
      <c r="BT18" s="5">
        <v>0.025518341307814916</v>
      </c>
      <c r="BU18" s="5">
        <v>0.023328149300155435</v>
      </c>
      <c r="BV18" s="5">
        <v>0.022796352583586695</v>
      </c>
      <c r="BW18" s="5">
        <v>0.02526002971768212</v>
      </c>
      <c r="BX18" s="5">
        <v>0.017391304347826108</v>
      </c>
      <c r="BY18" s="5">
        <v>0.037037037037036966</v>
      </c>
      <c r="BZ18" s="5">
        <v>-0.020604395604395667</v>
      </c>
      <c r="CA18" s="5">
        <v>0.047685834502103966</v>
      </c>
      <c r="CB18" s="5">
        <v>-0.013386880856760368</v>
      </c>
      <c r="CC18" s="5">
        <v>0.04884667571234714</v>
      </c>
      <c r="CD18" s="5">
        <v>0.05692108667529124</v>
      </c>
      <c r="CE18" s="5">
        <v>-0.011015911872705125</v>
      </c>
      <c r="CF18" s="5">
        <v>-0.016089108910890996</v>
      </c>
      <c r="CG18" s="5">
        <v>-0.016352201257861666</v>
      </c>
      <c r="CH18" s="5">
        <v>0.02173913043478269</v>
      </c>
      <c r="CI18" s="5">
        <v>0.007509386733416717</v>
      </c>
      <c r="CJ18" s="5">
        <v>0.01739130434782613</v>
      </c>
      <c r="CK18" s="5">
        <v>0.018315018315018368</v>
      </c>
      <c r="CL18" s="5">
        <v>0.04316546762589909</v>
      </c>
      <c r="CM18" s="5">
        <v>-0.005747126436781549</v>
      </c>
      <c r="CN18" s="5">
        <v>0.04161849710982641</v>
      </c>
      <c r="CO18" s="5">
        <v>-0.06104328523862368</v>
      </c>
      <c r="CP18" s="5">
        <v>0.0981087470449175</v>
      </c>
      <c r="CQ18" s="5">
        <v>0.08288482238966602</v>
      </c>
      <c r="CR18" s="5">
        <v>-0.005964214711729481</v>
      </c>
      <c r="CS18" s="5">
        <v>-0.07099999999999988</v>
      </c>
      <c r="CT18" s="5">
        <v>-0.02045209903121656</v>
      </c>
      <c r="CU18" s="5">
        <v>0.0505494505494506</v>
      </c>
      <c r="CV18" s="5">
        <v>-0.15271966527196654</v>
      </c>
      <c r="CW18" s="5">
        <v>-0.21111111111111117</v>
      </c>
      <c r="CX18" s="5">
        <v>0.17840375586854462</v>
      </c>
      <c r="CY18" s="5">
        <v>0.15670650730411678</v>
      </c>
      <c r="CZ18" s="5">
        <v>-0.041331802525832205</v>
      </c>
      <c r="DA18" s="5">
        <v>0.1796407185628743</v>
      </c>
      <c r="DB18" s="5">
        <v>0.051776649746192775</v>
      </c>
      <c r="DC18" s="5">
        <v>0.12548262548262554</v>
      </c>
      <c r="DD18" s="5">
        <v>0.004288164665523024</v>
      </c>
      <c r="DE18" s="5">
        <v>0.026473099914603164</v>
      </c>
      <c r="DF18" s="5">
        <v>-0.020798668885191378</v>
      </c>
      <c r="DG18" s="5">
        <v>0.06966864910790142</v>
      </c>
      <c r="DH18" s="5">
        <v>0.06751389992057188</v>
      </c>
      <c r="DI18" s="5">
        <v>-0.029017857142857272</v>
      </c>
      <c r="DJ18" s="5">
        <v>-0.0597701149425287</v>
      </c>
      <c r="DK18" s="5">
        <v>-0.06519967400162997</v>
      </c>
      <c r="DL18" s="5">
        <v>0.07149084568439423</v>
      </c>
      <c r="DM18" s="5">
        <v>-0.009764035801464697</v>
      </c>
      <c r="DN18" s="5">
        <v>-0.025472473294987752</v>
      </c>
      <c r="DO18" s="5">
        <v>0.037942664418212334</v>
      </c>
      <c r="DP18" s="5">
        <v>0.05767668562144589</v>
      </c>
      <c r="DQ18" s="5">
        <v>-0.00384024577572953</v>
      </c>
      <c r="DR18" s="5">
        <v>0.07170393215111805</v>
      </c>
      <c r="DS18" s="5">
        <v>-0.17482014388489203</v>
      </c>
      <c r="DT18" s="5">
        <v>-0.20924149956408022</v>
      </c>
      <c r="DU18" s="5">
        <v>-0.10363836824696813</v>
      </c>
      <c r="DV18" s="5">
        <v>-0.05043050430504292</v>
      </c>
      <c r="DW18" s="5">
        <v>-0.15544041450777196</v>
      </c>
      <c r="DX18" s="5">
        <v>0.08435582822085894</v>
      </c>
      <c r="DY18" s="5">
        <v>0.5205091937765202</v>
      </c>
      <c r="DZ18" s="5">
        <v>0.08372093023255821</v>
      </c>
      <c r="EA18" s="5">
        <v>0.07296137339055796</v>
      </c>
      <c r="EB18" s="5">
        <v>0.13600000000000004</v>
      </c>
      <c r="EC18" s="5">
        <v>0.0856561745816649</v>
      </c>
      <c r="ED18" s="5">
        <v>0.0579152057510074</v>
      </c>
      <c r="EE18" s="5">
        <v>0.031140340643001897</v>
      </c>
      <c r="EF18" s="5">
        <v>0.0345622996112203</v>
      </c>
      <c r="EG18" s="5">
        <v>0.05578320216975689</v>
      </c>
      <c r="EH18" s="5">
        <v>0.0531187150812929</v>
      </c>
      <c r="EI18" s="5">
        <v>0.049878537067477795</v>
      </c>
      <c r="EJ18" s="5">
        <v>0.0551671400223311</v>
      </c>
      <c r="EK18" s="5">
        <v>0.0269571385179235</v>
      </c>
      <c r="EL18" s="5">
        <v>0.026714248060295497</v>
      </c>
      <c r="EM18" s="5">
        <v>0.07991952490657671</v>
      </c>
      <c r="EN18" s="5">
        <v>0.049801328654922095</v>
      </c>
      <c r="EO18" s="5">
        <v>0.0684353498941024</v>
      </c>
      <c r="EP18" s="5">
        <v>0.0623355624094208</v>
      </c>
      <c r="EQ18" s="5">
        <v>0.0665220075230069</v>
      </c>
      <c r="ER18" s="5">
        <v>0.0486142661591403</v>
      </c>
      <c r="ES18" s="5">
        <v>0.0525183358534413</v>
      </c>
      <c r="ET18" s="5">
        <v>0.0492123129139564</v>
      </c>
      <c r="EU18" s="5">
        <v>0.044913189703072794</v>
      </c>
      <c r="EV18" s="5">
        <v>0.0710945009049206</v>
      </c>
      <c r="EW18" s="5">
        <v>0.0610867761617023</v>
      </c>
      <c r="EX18" s="5">
        <v>0.0531675290605666</v>
      </c>
      <c r="EY18" s="5">
        <v>0.045113716279087904</v>
      </c>
      <c r="EZ18" s="5">
        <v>0.06344564864869269</v>
      </c>
      <c r="FA18" s="5">
        <v>0.0430084071012452</v>
      </c>
      <c r="FB18" s="5">
        <v>-0.00959867329154789</v>
      </c>
      <c r="FC18" s="5">
        <v>0.043567555213388995</v>
      </c>
      <c r="FD18" s="5">
        <v>0.0346429235913467</v>
      </c>
      <c r="FE18" s="5">
        <v>0.039785494684844595</v>
      </c>
      <c r="FF18" s="5">
        <v>0.0355000037634591</v>
      </c>
      <c r="FG18" s="5">
        <v>0.0157880122754374</v>
      </c>
      <c r="FH18" s="5">
        <v>0.010690127567096702</v>
      </c>
      <c r="FI18" s="5">
        <v>0.0250536136560163</v>
      </c>
      <c r="FJ18" s="5">
        <v>0.012408529155249799</v>
      </c>
      <c r="FK18" s="5">
        <v>0.015137078700601</v>
      </c>
      <c r="FL18" s="5">
        <v>0.016228216501733</v>
      </c>
      <c r="FM18" s="5">
        <v>0.023372356023937998</v>
      </c>
      <c r="FN18" s="5">
        <v>0.0256190869406679</v>
      </c>
      <c r="FO18" s="5">
        <v>0.0474318506127023</v>
      </c>
      <c r="FP18" s="5">
        <v>0.0434381995889572</v>
      </c>
      <c r="FQ18" s="5">
        <v>0.0292395174185515</v>
      </c>
      <c r="FR18" s="5">
        <v>0.010481802223058001</v>
      </c>
      <c r="FS18" s="5">
        <v>0.0159934649977294</v>
      </c>
      <c r="FT18" s="5">
        <v>-0.006286588469088739</v>
      </c>
      <c r="FU18" s="5">
        <v>0.0235837174390399</v>
      </c>
      <c r="FV18" s="5">
        <v>0.021066514052863</v>
      </c>
      <c r="FW18" s="5">
        <v>0.0141299601530085</v>
      </c>
      <c r="FX18" s="5">
        <v>0.0233632936675067</v>
      </c>
      <c r="FY18" s="5">
        <v>0.035886293379513996</v>
      </c>
      <c r="FZ18" s="5">
        <v>0.0342135235980006</v>
      </c>
      <c r="GA18" s="5">
        <v>0.0392371245576191</v>
      </c>
      <c r="GB18" s="5">
        <v>0.0198371211462977</v>
      </c>
      <c r="GC18" s="5">
        <v>0.011355417436923301</v>
      </c>
      <c r="GD18" s="5">
        <v>0.00823122997395163</v>
      </c>
      <c r="GE18" s="5">
        <v>0.0282979658451117</v>
      </c>
      <c r="GF18" s="5">
        <v>0.0166318213006728</v>
      </c>
      <c r="GG18" s="5">
        <v>0.0244934540139417</v>
      </c>
      <c r="GH18" s="5">
        <v>0.024247397856177598</v>
      </c>
      <c r="GI18" s="5">
        <v>0.0025493676773191997</v>
      </c>
      <c r="GJ18" s="5">
        <v>-0.028733254071544798</v>
      </c>
      <c r="GK18" s="5">
        <v>0.0194945890344995</v>
      </c>
      <c r="GL18" s="5">
        <v>0.0219267971584139</v>
      </c>
      <c r="GM18" s="5">
        <v>0.0031316447000194</v>
      </c>
      <c r="GN18" s="5">
        <v>0.00576323570182615</v>
      </c>
      <c r="GO18" s="5">
        <v>0.00956168723899057</v>
      </c>
      <c r="GP18" s="5">
        <v>0.0111291234158153</v>
      </c>
      <c r="GQ18" s="5">
        <v>0.0109546258424186</v>
      </c>
      <c r="GR18" s="5">
        <v>0.022914075239164902</v>
      </c>
      <c r="GS18" s="5">
        <v>0.018000000000000002</v>
      </c>
      <c r="GT18" s="5">
        <v>0.015</v>
      </c>
      <c r="GU18" s="5">
        <v>-0.08199999999999999</v>
      </c>
      <c r="GV18" s="5">
        <v>0.05</v>
      </c>
      <c r="GW18" s="5">
        <v>0.04</v>
      </c>
      <c r="GX18" s="5">
        <v>0.023</v>
      </c>
      <c r="GY18" s="5">
        <v>0.016</v>
      </c>
      <c r="GZ18" s="5">
        <v>0.013999999999999999</v>
      </c>
      <c r="HA18" s="5">
        <v>0.013999999999999999</v>
      </c>
      <c r="HB18" s="5">
        <v>0.013999999999999999</v>
      </c>
      <c r="HC18" s="5">
        <v>0.017</v>
      </c>
      <c r="HD18" s="5">
        <v>0.017</v>
      </c>
      <c r="HE18" s="5">
        <v>0.017</v>
      </c>
      <c r="HF18" s="5">
        <v>0.017</v>
      </c>
      <c r="HG18" s="5">
        <v>0.016</v>
      </c>
      <c r="HH18" s="5">
        <v>0.016</v>
      </c>
      <c r="HI18" s="5">
        <v>0.016</v>
      </c>
      <c r="HJ18" s="5">
        <v>0.016</v>
      </c>
      <c r="HK18" s="5">
        <v>0.016</v>
      </c>
      <c r="HL18" s="5">
        <v>0.016</v>
      </c>
      <c r="HM18" s="5">
        <v>0.016</v>
      </c>
      <c r="HN18" s="5">
        <v>0.016</v>
      </c>
      <c r="HO18" s="5">
        <v>0.016</v>
      </c>
      <c r="HP18" s="5">
        <v>0.014</v>
      </c>
      <c r="HQ18" s="5">
        <v>0.014</v>
      </c>
      <c r="HR18" s="5">
        <v>0.014</v>
      </c>
      <c r="HS18" s="5">
        <v>0.014</v>
      </c>
      <c r="HT18" s="5">
        <v>0.014</v>
      </c>
      <c r="HU18" s="5">
        <v>0.014</v>
      </c>
      <c r="HV18" s="5">
        <v>0.014</v>
      </c>
      <c r="HW18" s="5">
        <v>0.014</v>
      </c>
      <c r="HX18" s="5">
        <v>0.014</v>
      </c>
      <c r="HY18" s="5">
        <v>0.014</v>
      </c>
      <c r="HZ18" s="5">
        <v>0.014</v>
      </c>
      <c r="IA18" s="5">
        <v>0.014</v>
      </c>
      <c r="IB18" s="5">
        <v>0.014</v>
      </c>
      <c r="IC18" s="5">
        <v>0.014</v>
      </c>
      <c r="ID18" s="5">
        <v>0.014</v>
      </c>
      <c r="IE18" s="5">
        <v>0.014</v>
      </c>
      <c r="IF18" s="5">
        <v>0.014</v>
      </c>
      <c r="IG18" s="5">
        <v>0.014</v>
      </c>
      <c r="IH18" s="5">
        <v>0.014</v>
      </c>
      <c r="II18" s="5">
        <v>0.014</v>
      </c>
      <c r="IJ18" s="5">
        <v>0.014</v>
      </c>
      <c r="IK18" s="5">
        <v>0.014</v>
      </c>
      <c r="IL18" s="5">
        <v>0.014</v>
      </c>
      <c r="IM18" s="5">
        <v>0.014</v>
      </c>
      <c r="IN18" s="5">
        <v>0.014</v>
      </c>
      <c r="IO18" s="5">
        <v>0.014</v>
      </c>
      <c r="IP18" s="5">
        <v>0.014</v>
      </c>
      <c r="IQ18" s="5">
        <v>0.014</v>
      </c>
      <c r="IR18" s="5">
        <v>0.014</v>
      </c>
      <c r="IS18" s="5">
        <v>0.014</v>
      </c>
    </row>
    <row r="19" ht="14.25" customHeight="1">
      <c r="A19" s="4" t="s">
        <v>24</v>
      </c>
      <c r="D19" s="5">
        <v>0.08616217435434759</v>
      </c>
      <c r="E19" s="5">
        <v>-0.03262901048696916</v>
      </c>
      <c r="F19" s="5">
        <v>0.03861325032870905</v>
      </c>
      <c r="G19" s="5">
        <v>0.03407740402004857</v>
      </c>
      <c r="H19" s="5">
        <v>-0.03745159275452842</v>
      </c>
      <c r="I19" s="5">
        <v>0.03262731661734932</v>
      </c>
      <c r="J19" s="5">
        <v>-0.015182364326471106</v>
      </c>
      <c r="K19" s="5">
        <v>-5.360014293371449E-4</v>
      </c>
      <c r="L19" s="5">
        <v>0.03210072015935441</v>
      </c>
      <c r="M19" s="5">
        <v>-0.01880489917109984</v>
      </c>
      <c r="N19" s="5">
        <v>0.018232253183709496</v>
      </c>
      <c r="O19" s="5">
        <v>0.09193124969042547</v>
      </c>
      <c r="P19" s="5">
        <v>-0.01528691313222953</v>
      </c>
      <c r="Q19" s="5">
        <v>0.005689146858301087</v>
      </c>
      <c r="R19" s="5">
        <v>0.03776653001397064</v>
      </c>
      <c r="S19" s="5">
        <v>-0.011233227401129944</v>
      </c>
      <c r="T19" s="5">
        <v>0.019329062785974155</v>
      </c>
      <c r="U19" s="5">
        <v>0.04882962184413935</v>
      </c>
      <c r="V19" s="5">
        <v>-0.031983966262343684</v>
      </c>
      <c r="W19" s="5">
        <v>0.07464360428753208</v>
      </c>
      <c r="X19" s="5">
        <v>0.02442401862406679</v>
      </c>
      <c r="Y19" s="5">
        <v>-0.02178469977470859</v>
      </c>
      <c r="Z19" s="5">
        <v>0.05331143732601686</v>
      </c>
      <c r="AA19" s="5">
        <v>0.0361631333776975</v>
      </c>
      <c r="AB19" s="5">
        <v>-0.030533790850872523</v>
      </c>
      <c r="AC19" s="5">
        <v>0.0024984384759525295</v>
      </c>
      <c r="AD19" s="5">
        <v>0.1102803738317757</v>
      </c>
      <c r="AE19" s="5">
        <v>-0.0613542835765058</v>
      </c>
      <c r="AF19" s="5">
        <v>0.03143229827167651</v>
      </c>
      <c r="AG19" s="5">
        <v>0.019426343245569352</v>
      </c>
      <c r="AH19" s="5">
        <v>-0.014662554489222764</v>
      </c>
      <c r="AI19" s="5">
        <v>0.06545079387284046</v>
      </c>
      <c r="AJ19" s="5">
        <v>-0.048612364806092136</v>
      </c>
      <c r="AK19" s="5">
        <v>0.04819817488657731</v>
      </c>
      <c r="AL19" s="5">
        <v>-0.015157250300347251</v>
      </c>
      <c r="AM19" s="5">
        <v>0.043898933859162464</v>
      </c>
      <c r="AN19" s="5">
        <v>0.05713233763946918</v>
      </c>
      <c r="AO19" s="5">
        <v>0.06976286380568764</v>
      </c>
      <c r="AP19" s="5">
        <v>-0.06510014863047632</v>
      </c>
      <c r="AQ19" s="5">
        <v>0.06860370045120068</v>
      </c>
      <c r="AR19" s="5">
        <v>-0.06266914150502288</v>
      </c>
      <c r="AS19" s="5">
        <v>0.0855277080750975</v>
      </c>
      <c r="AT19" s="5">
        <v>0.0362613490781485</v>
      </c>
      <c r="AU19" s="5">
        <v>0.01128789507632767</v>
      </c>
      <c r="AV19" s="5">
        <v>-0.027891463803550547</v>
      </c>
      <c r="AW19" s="5">
        <v>0.0067526005713738945</v>
      </c>
      <c r="AX19" s="5">
        <v>-0.058967291686467256</v>
      </c>
      <c r="AY19" s="5">
        <v>0.09594851965141109</v>
      </c>
      <c r="AZ19" s="5">
        <v>0.02726506753732326</v>
      </c>
      <c r="BA19" s="5">
        <v>-0.07598442886619079</v>
      </c>
      <c r="BB19" s="5">
        <v>-0.006012024048096049</v>
      </c>
      <c r="BC19" s="5">
        <v>0.09274193548387084</v>
      </c>
      <c r="BD19" s="5">
        <v>-0.07011070110701119</v>
      </c>
      <c r="BE19" s="5">
        <v>0.12698412698412703</v>
      </c>
      <c r="BF19" s="5">
        <v>0.03345070422535226</v>
      </c>
      <c r="BG19" s="5">
        <v>-0.08177172061328801</v>
      </c>
      <c r="BH19" s="5">
        <v>0.05380333951762519</v>
      </c>
      <c r="BI19" s="5">
        <v>-0.012323943661971775</v>
      </c>
      <c r="BJ19" s="5">
        <v>-0.06238859180035639</v>
      </c>
      <c r="BK19" s="5">
        <v>0.08935361216730009</v>
      </c>
      <c r="BL19" s="5">
        <v>0.038394415357766346</v>
      </c>
      <c r="BM19" s="5">
        <v>0.04705882352941171</v>
      </c>
      <c r="BN19" s="5">
        <v>0.0032102728731942527</v>
      </c>
      <c r="BO19" s="5">
        <v>-0.011200000000000107</v>
      </c>
      <c r="BP19" s="5">
        <v>-0.01779935275080891</v>
      </c>
      <c r="BQ19" s="5">
        <v>0.016474464579901146</v>
      </c>
      <c r="BR19" s="5">
        <v>0.00648298217179909</v>
      </c>
      <c r="BS19" s="5">
        <v>0.0096618357487922</v>
      </c>
      <c r="BT19" s="5">
        <v>0.025518341307814916</v>
      </c>
      <c r="BU19" s="5">
        <v>0.023328149300155435</v>
      </c>
      <c r="BV19" s="5">
        <v>0.022796352583586695</v>
      </c>
      <c r="BW19" s="5">
        <v>0.02526002971768212</v>
      </c>
      <c r="BX19" s="5">
        <v>0.017391304347826108</v>
      </c>
      <c r="BY19" s="5">
        <v>0.037037037037036966</v>
      </c>
      <c r="BZ19" s="5">
        <v>-0.020604395604395667</v>
      </c>
      <c r="CA19" s="5">
        <v>0.047685834502103966</v>
      </c>
      <c r="CB19" s="5">
        <v>-0.013386880856760368</v>
      </c>
      <c r="CC19" s="5">
        <v>0.04884667571234714</v>
      </c>
      <c r="CD19" s="5">
        <v>0.05692108667529124</v>
      </c>
      <c r="CE19" s="5">
        <v>-0.011015911872705125</v>
      </c>
      <c r="CF19" s="5">
        <v>-0.016089108910890996</v>
      </c>
      <c r="CG19" s="5">
        <v>-0.016352201257861666</v>
      </c>
      <c r="CH19" s="5">
        <v>0.02173913043478269</v>
      </c>
      <c r="CI19" s="5">
        <v>0.007509386733416717</v>
      </c>
      <c r="CJ19" s="5">
        <v>0.01739130434782613</v>
      </c>
      <c r="CK19" s="5">
        <v>0.018315018315018368</v>
      </c>
      <c r="CL19" s="5">
        <v>0.04316546762589909</v>
      </c>
      <c r="CM19" s="5">
        <v>-0.005747126436781549</v>
      </c>
      <c r="CN19" s="5">
        <v>0.04161849710982641</v>
      </c>
      <c r="CO19" s="5">
        <v>-0.06104328523862368</v>
      </c>
      <c r="CP19" s="5">
        <v>0.0981087470449175</v>
      </c>
      <c r="CQ19" s="5">
        <v>0.08288482238966602</v>
      </c>
      <c r="CR19" s="5">
        <v>-0.005964214711729481</v>
      </c>
      <c r="CS19" s="5">
        <v>-0.07099999999999988</v>
      </c>
      <c r="CT19" s="5">
        <v>-0.02045209903121656</v>
      </c>
      <c r="CU19" s="5">
        <v>0.0505494505494506</v>
      </c>
      <c r="CV19" s="5">
        <v>-0.15271966527196654</v>
      </c>
      <c r="CW19" s="5">
        <v>-0.21111111111111117</v>
      </c>
      <c r="CX19" s="5">
        <v>0.17840375586854462</v>
      </c>
      <c r="CY19" s="5">
        <v>0.15670650730411678</v>
      </c>
      <c r="CZ19" s="5">
        <v>-0.041331802525832205</v>
      </c>
      <c r="DA19" s="5">
        <v>0.1796407185628743</v>
      </c>
      <c r="DB19" s="5">
        <v>0.051776649746192775</v>
      </c>
      <c r="DC19" s="5">
        <v>0.12548262548262554</v>
      </c>
      <c r="DD19" s="5">
        <v>0.004288164665523024</v>
      </c>
      <c r="DE19" s="5">
        <v>0.026473099914603164</v>
      </c>
      <c r="DF19" s="5">
        <v>-0.020798668885191378</v>
      </c>
      <c r="DG19" s="5">
        <v>0.06966864910790142</v>
      </c>
      <c r="DH19" s="5">
        <v>0.06751389992057188</v>
      </c>
      <c r="DI19" s="5">
        <v>-0.029017857142857272</v>
      </c>
      <c r="DJ19" s="5">
        <v>-0.0597701149425287</v>
      </c>
      <c r="DK19" s="5">
        <v>-0.06519967400162997</v>
      </c>
      <c r="DL19" s="5">
        <v>0.07149084568439423</v>
      </c>
      <c r="DM19" s="5">
        <v>-0.009764035801464697</v>
      </c>
      <c r="DN19" s="5">
        <v>-0.025472473294987752</v>
      </c>
      <c r="DO19" s="5">
        <v>0.037942664418212334</v>
      </c>
      <c r="DP19" s="5">
        <v>0.05767668562144589</v>
      </c>
      <c r="DQ19" s="5">
        <v>-0.00384024577572953</v>
      </c>
      <c r="DR19" s="5">
        <v>0.07170393215111805</v>
      </c>
      <c r="DS19" s="5">
        <v>-0.17482014388489203</v>
      </c>
      <c r="DT19" s="5">
        <v>-0.20924149956408022</v>
      </c>
      <c r="DU19" s="5">
        <v>-0.10363836824696813</v>
      </c>
      <c r="DV19" s="5">
        <v>-0.05043050430504292</v>
      </c>
      <c r="DW19" s="5">
        <v>-0.15544041450777196</v>
      </c>
      <c r="DX19" s="5">
        <v>0.08435582822085894</v>
      </c>
      <c r="DY19" s="5">
        <v>0.5205091937765202</v>
      </c>
      <c r="DZ19" s="5">
        <v>0.08372093023255821</v>
      </c>
      <c r="EA19" s="5">
        <v>0.07296137339055796</v>
      </c>
      <c r="EB19" s="5">
        <v>0.13600000000000004</v>
      </c>
      <c r="EC19" s="5">
        <v>0.0856561745816649</v>
      </c>
      <c r="ED19" s="5">
        <v>0.0579152057510074</v>
      </c>
      <c r="EE19" s="5">
        <v>0.031140340643001897</v>
      </c>
      <c r="EF19" s="5">
        <v>0.0345622996112203</v>
      </c>
      <c r="EG19" s="5">
        <v>0.05578320216975689</v>
      </c>
      <c r="EH19" s="5">
        <v>0.0531187150812929</v>
      </c>
      <c r="EI19" s="5">
        <v>0.049878537067477795</v>
      </c>
      <c r="EJ19" s="5">
        <v>0.0551671400223311</v>
      </c>
      <c r="EK19" s="5">
        <v>0.0269571385179235</v>
      </c>
      <c r="EL19" s="5">
        <v>0.026714248060295497</v>
      </c>
      <c r="EM19" s="5">
        <v>0.07991952490657671</v>
      </c>
      <c r="EN19" s="5">
        <v>0.049801328654922095</v>
      </c>
      <c r="EO19" s="5">
        <v>0.0684353498941024</v>
      </c>
      <c r="EP19" s="5">
        <v>0.0623355624094208</v>
      </c>
      <c r="EQ19" s="5">
        <v>0.0665220075230069</v>
      </c>
      <c r="ER19" s="5">
        <v>0.0486142661591403</v>
      </c>
      <c r="ES19" s="5">
        <v>0.0525183358534413</v>
      </c>
      <c r="ET19" s="5">
        <v>0.0492123129139564</v>
      </c>
      <c r="EU19" s="5">
        <v>0.044913189703072794</v>
      </c>
      <c r="EV19" s="5">
        <v>0.0710945009049206</v>
      </c>
      <c r="EW19" s="5">
        <v>0.0610867761617023</v>
      </c>
      <c r="EX19" s="5">
        <v>0.0531675290605666</v>
      </c>
      <c r="EY19" s="5">
        <v>0.045113716279087904</v>
      </c>
      <c r="EZ19" s="5">
        <v>0.06344564864869269</v>
      </c>
      <c r="FA19" s="5">
        <v>0.0430084071012452</v>
      </c>
      <c r="FB19" s="5">
        <v>-0.00959867329154789</v>
      </c>
      <c r="FC19" s="5">
        <v>0.043567555213388995</v>
      </c>
      <c r="FD19" s="5">
        <v>0.0346429235913467</v>
      </c>
      <c r="FE19" s="5">
        <v>0.039785494684844595</v>
      </c>
      <c r="FF19" s="5">
        <v>0.0355000037634591</v>
      </c>
      <c r="FG19" s="5">
        <v>0.0157880122754374</v>
      </c>
      <c r="FH19" s="5">
        <v>0.010690127567096702</v>
      </c>
      <c r="FI19" s="5">
        <v>0.0250536136560163</v>
      </c>
      <c r="FJ19" s="5">
        <v>0.012408529155249799</v>
      </c>
      <c r="FK19" s="5">
        <v>0.015137078700601</v>
      </c>
      <c r="FL19" s="5">
        <v>0.016228216501733</v>
      </c>
      <c r="FM19" s="5">
        <v>0.023372356023937998</v>
      </c>
      <c r="FN19" s="5">
        <v>0.0256190869406679</v>
      </c>
      <c r="FO19" s="5">
        <v>0.0474318506127023</v>
      </c>
      <c r="FP19" s="5">
        <v>0.0434381995889572</v>
      </c>
      <c r="FQ19" s="5">
        <v>0.0292395174185515</v>
      </c>
      <c r="FR19" s="5">
        <v>0.010481802223058001</v>
      </c>
      <c r="FS19" s="5">
        <v>0.0159934649977294</v>
      </c>
      <c r="FT19" s="5">
        <v>-0.006286588469088739</v>
      </c>
      <c r="FU19" s="5">
        <v>0.0235837174390399</v>
      </c>
      <c r="FV19" s="5">
        <v>0.021066514052863</v>
      </c>
      <c r="FW19" s="5">
        <v>0.0141299601530085</v>
      </c>
      <c r="FX19" s="5">
        <v>0.0233632936675067</v>
      </c>
      <c r="FY19" s="5">
        <v>0.035886293379513996</v>
      </c>
      <c r="FZ19" s="5">
        <v>0.0342135235980006</v>
      </c>
      <c r="GA19" s="5">
        <v>0.0392371245576191</v>
      </c>
      <c r="GB19" s="5">
        <v>0.0198371211462977</v>
      </c>
      <c r="GC19" s="5">
        <v>0.011355417436923301</v>
      </c>
      <c r="GD19" s="5">
        <v>0.00823122997395163</v>
      </c>
      <c r="GE19" s="5">
        <v>0.0282979658451117</v>
      </c>
      <c r="GF19" s="5">
        <v>0.0166318213006728</v>
      </c>
      <c r="GG19" s="5">
        <v>0.0244934540139417</v>
      </c>
      <c r="GH19" s="5">
        <v>0.024247397856177598</v>
      </c>
      <c r="GI19" s="5">
        <v>0.0025493676773191997</v>
      </c>
      <c r="GJ19" s="5">
        <v>-0.028733254071544798</v>
      </c>
      <c r="GK19" s="5">
        <v>0.0194945890344995</v>
      </c>
      <c r="GL19" s="5">
        <v>0.0219267971584139</v>
      </c>
      <c r="GM19" s="5">
        <v>0.0031316447000194</v>
      </c>
      <c r="GN19" s="5">
        <v>0.00576323570182615</v>
      </c>
      <c r="GO19" s="5">
        <v>0.00956168723899057</v>
      </c>
      <c r="GP19" s="5">
        <v>0.0111291234158153</v>
      </c>
      <c r="GQ19" s="5">
        <v>0.0109546258424186</v>
      </c>
      <c r="GR19" s="5">
        <v>0.022914075239164902</v>
      </c>
      <c r="GS19" s="5">
        <v>0.018000000000000002</v>
      </c>
      <c r="GT19" s="5">
        <v>0.015</v>
      </c>
      <c r="GU19" s="5">
        <v>-0.08199999999999999</v>
      </c>
      <c r="GV19" s="5">
        <v>0.05</v>
      </c>
      <c r="GW19" s="5">
        <v>0.04</v>
      </c>
      <c r="GX19" s="5">
        <v>0.023</v>
      </c>
      <c r="GY19" s="5">
        <v>0.016</v>
      </c>
      <c r="GZ19" s="5">
        <v>0.013999999999999999</v>
      </c>
      <c r="HA19" s="5">
        <v>0.013999999999999999</v>
      </c>
      <c r="HB19" s="5">
        <v>0.013999999999999999</v>
      </c>
      <c r="HC19" s="5">
        <v>0.016</v>
      </c>
      <c r="HD19" s="5">
        <v>0.016</v>
      </c>
      <c r="HE19" s="5">
        <v>0.016</v>
      </c>
      <c r="HF19" s="5">
        <v>0.016</v>
      </c>
      <c r="HG19" s="5">
        <v>0.014</v>
      </c>
      <c r="HH19" s="5">
        <v>0.014</v>
      </c>
      <c r="HI19" s="5">
        <v>0.014</v>
      </c>
      <c r="HJ19" s="5">
        <v>0.014</v>
      </c>
      <c r="HK19" s="5">
        <v>0.014</v>
      </c>
      <c r="HL19" s="5">
        <v>0.014</v>
      </c>
      <c r="HM19" s="5">
        <v>0.014</v>
      </c>
      <c r="HN19" s="5">
        <v>0.014</v>
      </c>
      <c r="HO19" s="5">
        <v>0.014</v>
      </c>
      <c r="HP19" s="5">
        <v>0.012</v>
      </c>
      <c r="HQ19" s="5">
        <v>0.012</v>
      </c>
      <c r="HR19" s="5">
        <v>0.012</v>
      </c>
      <c r="HS19" s="5">
        <v>0.012</v>
      </c>
      <c r="HT19" s="5">
        <v>0.012</v>
      </c>
      <c r="HU19" s="5">
        <v>0.012</v>
      </c>
      <c r="HV19" s="5">
        <v>0.012</v>
      </c>
      <c r="HW19" s="5">
        <v>0.012</v>
      </c>
      <c r="HX19" s="5">
        <v>0.012</v>
      </c>
      <c r="HY19" s="5">
        <v>0.012</v>
      </c>
      <c r="HZ19" s="5">
        <v>0.012</v>
      </c>
      <c r="IA19" s="5">
        <v>0.012</v>
      </c>
      <c r="IB19" s="5">
        <v>0.012</v>
      </c>
      <c r="IC19" s="5">
        <v>0.012</v>
      </c>
      <c r="ID19" s="5">
        <v>0.012</v>
      </c>
      <c r="IE19" s="5">
        <v>0.012</v>
      </c>
      <c r="IF19" s="5">
        <v>0.012</v>
      </c>
      <c r="IG19" s="5">
        <v>0.012</v>
      </c>
      <c r="IH19" s="5">
        <v>0.012</v>
      </c>
      <c r="II19" s="5">
        <v>0.012</v>
      </c>
      <c r="IJ19" s="5">
        <v>0.012</v>
      </c>
      <c r="IK19" s="5">
        <v>0.012</v>
      </c>
      <c r="IL19" s="5">
        <v>0.012</v>
      </c>
      <c r="IM19" s="5">
        <v>0.012</v>
      </c>
      <c r="IN19" s="5">
        <v>0.012</v>
      </c>
      <c r="IO19" s="5">
        <v>0.012</v>
      </c>
      <c r="IP19" s="5">
        <v>0.012</v>
      </c>
      <c r="IQ19" s="5">
        <v>0.012</v>
      </c>
      <c r="IR19" s="5">
        <v>0.012</v>
      </c>
      <c r="IS19" s="5">
        <v>0.012</v>
      </c>
    </row>
    <row r="20" ht="14.25" customHeight="1">
      <c r="A20" s="4" t="s">
        <v>25</v>
      </c>
      <c r="D20" s="5">
        <v>0.08616217435434759</v>
      </c>
      <c r="E20" s="5">
        <v>-0.03262901048696916</v>
      </c>
      <c r="F20" s="5">
        <v>0.03861325032870905</v>
      </c>
      <c r="G20" s="5">
        <v>0.03407740402004857</v>
      </c>
      <c r="H20" s="5">
        <v>-0.03745159275452842</v>
      </c>
      <c r="I20" s="5">
        <v>0.03262731661734932</v>
      </c>
      <c r="J20" s="5">
        <v>-0.015182364326471106</v>
      </c>
      <c r="K20" s="5">
        <v>-5.360014293371449E-4</v>
      </c>
      <c r="L20" s="5">
        <v>0.03210072015935441</v>
      </c>
      <c r="M20" s="5">
        <v>-0.01880489917109984</v>
      </c>
      <c r="N20" s="5">
        <v>0.018232253183709496</v>
      </c>
      <c r="O20" s="5">
        <v>0.09193124969042547</v>
      </c>
      <c r="P20" s="5">
        <v>-0.01528691313222953</v>
      </c>
      <c r="Q20" s="5">
        <v>0.005689146858301087</v>
      </c>
      <c r="R20" s="5">
        <v>0.03776653001397064</v>
      </c>
      <c r="S20" s="5">
        <v>-0.011233227401129944</v>
      </c>
      <c r="T20" s="5">
        <v>0.019329062785974155</v>
      </c>
      <c r="U20" s="5">
        <v>0.04882962184413935</v>
      </c>
      <c r="V20" s="5">
        <v>-0.031983966262343684</v>
      </c>
      <c r="W20" s="5">
        <v>0.07464360428753208</v>
      </c>
      <c r="X20" s="5">
        <v>0.02442401862406679</v>
      </c>
      <c r="Y20" s="5">
        <v>-0.02178469977470859</v>
      </c>
      <c r="Z20" s="5">
        <v>0.05331143732601686</v>
      </c>
      <c r="AA20" s="5">
        <v>0.0361631333776975</v>
      </c>
      <c r="AB20" s="5">
        <v>-0.030533790850872523</v>
      </c>
      <c r="AC20" s="5">
        <v>0.0024984384759525295</v>
      </c>
      <c r="AD20" s="5">
        <v>0.1102803738317757</v>
      </c>
      <c r="AE20" s="5">
        <v>-0.0613542835765058</v>
      </c>
      <c r="AF20" s="5">
        <v>0.03143229827167651</v>
      </c>
      <c r="AG20" s="5">
        <v>0.019426343245569352</v>
      </c>
      <c r="AH20" s="5">
        <v>-0.014662554489222764</v>
      </c>
      <c r="AI20" s="5">
        <v>0.06545079387284046</v>
      </c>
      <c r="AJ20" s="5">
        <v>-0.048612364806092136</v>
      </c>
      <c r="AK20" s="5">
        <v>0.04819817488657731</v>
      </c>
      <c r="AL20" s="5">
        <v>-0.015157250300347251</v>
      </c>
      <c r="AM20" s="5">
        <v>0.043898933859162464</v>
      </c>
      <c r="AN20" s="5">
        <v>0.05713233763946918</v>
      </c>
      <c r="AO20" s="5">
        <v>0.06976286380568764</v>
      </c>
      <c r="AP20" s="5">
        <v>-0.06510014863047632</v>
      </c>
      <c r="AQ20" s="5">
        <v>0.06860370045120068</v>
      </c>
      <c r="AR20" s="5">
        <v>-0.06266914150502288</v>
      </c>
      <c r="AS20" s="5">
        <v>0.0855277080750975</v>
      </c>
      <c r="AT20" s="5">
        <v>0.0362613490781485</v>
      </c>
      <c r="AU20" s="5">
        <v>0.01128789507632767</v>
      </c>
      <c r="AV20" s="5">
        <v>-0.027891463803550547</v>
      </c>
      <c r="AW20" s="5">
        <v>0.0067526005713738945</v>
      </c>
      <c r="AX20" s="5">
        <v>-0.058967291686467256</v>
      </c>
      <c r="AY20" s="5">
        <v>0.09594851965141109</v>
      </c>
      <c r="AZ20" s="5">
        <v>0.02726506753732326</v>
      </c>
      <c r="BA20" s="5">
        <v>-0.07598442886619079</v>
      </c>
      <c r="BB20" s="5">
        <v>-0.006012024048096049</v>
      </c>
      <c r="BC20" s="5">
        <v>0.09274193548387084</v>
      </c>
      <c r="BD20" s="5">
        <v>-0.07011070110701119</v>
      </c>
      <c r="BE20" s="5">
        <v>0.12698412698412703</v>
      </c>
      <c r="BF20" s="5">
        <v>0.03345070422535226</v>
      </c>
      <c r="BG20" s="5">
        <v>-0.08177172061328801</v>
      </c>
      <c r="BH20" s="5">
        <v>0.05380333951762519</v>
      </c>
      <c r="BI20" s="5">
        <v>-0.012323943661971775</v>
      </c>
      <c r="BJ20" s="5">
        <v>-0.06238859180035639</v>
      </c>
      <c r="BK20" s="5">
        <v>0.08935361216730009</v>
      </c>
      <c r="BL20" s="5">
        <v>0.038394415357766346</v>
      </c>
      <c r="BM20" s="5">
        <v>0.04705882352941171</v>
      </c>
      <c r="BN20" s="5">
        <v>0.0032102728731942527</v>
      </c>
      <c r="BO20" s="5">
        <v>-0.011200000000000107</v>
      </c>
      <c r="BP20" s="5">
        <v>-0.01779935275080891</v>
      </c>
      <c r="BQ20" s="5">
        <v>0.016474464579901146</v>
      </c>
      <c r="BR20" s="5">
        <v>0.00648298217179909</v>
      </c>
      <c r="BS20" s="5">
        <v>0.0096618357487922</v>
      </c>
      <c r="BT20" s="5">
        <v>0.025518341307814916</v>
      </c>
      <c r="BU20" s="5">
        <v>0.023328149300155435</v>
      </c>
      <c r="BV20" s="5">
        <v>0.022796352583586695</v>
      </c>
      <c r="BW20" s="5">
        <v>0.02526002971768212</v>
      </c>
      <c r="BX20" s="5">
        <v>0.017391304347826108</v>
      </c>
      <c r="BY20" s="5">
        <v>0.037037037037036966</v>
      </c>
      <c r="BZ20" s="5">
        <v>-0.020604395604395667</v>
      </c>
      <c r="CA20" s="5">
        <v>0.047685834502103966</v>
      </c>
      <c r="CB20" s="5">
        <v>-0.013386880856760368</v>
      </c>
      <c r="CC20" s="5">
        <v>0.04884667571234714</v>
      </c>
      <c r="CD20" s="5">
        <v>0.05692108667529124</v>
      </c>
      <c r="CE20" s="5">
        <v>-0.011015911872705125</v>
      </c>
      <c r="CF20" s="5">
        <v>-0.016089108910890996</v>
      </c>
      <c r="CG20" s="5">
        <v>-0.016352201257861666</v>
      </c>
      <c r="CH20" s="5">
        <v>0.02173913043478269</v>
      </c>
      <c r="CI20" s="5">
        <v>0.007509386733416717</v>
      </c>
      <c r="CJ20" s="5">
        <v>0.01739130434782613</v>
      </c>
      <c r="CK20" s="5">
        <v>0.018315018315018368</v>
      </c>
      <c r="CL20" s="5">
        <v>0.04316546762589909</v>
      </c>
      <c r="CM20" s="5">
        <v>-0.005747126436781549</v>
      </c>
      <c r="CN20" s="5">
        <v>0.04161849710982641</v>
      </c>
      <c r="CO20" s="5">
        <v>-0.06104328523862368</v>
      </c>
      <c r="CP20" s="5">
        <v>0.0981087470449175</v>
      </c>
      <c r="CQ20" s="5">
        <v>0.08288482238966602</v>
      </c>
      <c r="CR20" s="5">
        <v>-0.005964214711729481</v>
      </c>
      <c r="CS20" s="5">
        <v>-0.07099999999999988</v>
      </c>
      <c r="CT20" s="5">
        <v>-0.02045209903121656</v>
      </c>
      <c r="CU20" s="5">
        <v>0.0505494505494506</v>
      </c>
      <c r="CV20" s="5">
        <v>-0.15271966527196654</v>
      </c>
      <c r="CW20" s="5">
        <v>-0.21111111111111117</v>
      </c>
      <c r="CX20" s="5">
        <v>0.17840375586854462</v>
      </c>
      <c r="CY20" s="5">
        <v>0.15670650730411678</v>
      </c>
      <c r="CZ20" s="5">
        <v>-0.041331802525832205</v>
      </c>
      <c r="DA20" s="5">
        <v>0.1796407185628743</v>
      </c>
      <c r="DB20" s="5">
        <v>0.051776649746192775</v>
      </c>
      <c r="DC20" s="5">
        <v>0.12548262548262554</v>
      </c>
      <c r="DD20" s="5">
        <v>0.004288164665523024</v>
      </c>
      <c r="DE20" s="5">
        <v>0.026473099914603164</v>
      </c>
      <c r="DF20" s="5">
        <v>-0.020798668885191378</v>
      </c>
      <c r="DG20" s="5">
        <v>0.06966864910790142</v>
      </c>
      <c r="DH20" s="5">
        <v>0.06751389992057188</v>
      </c>
      <c r="DI20" s="5">
        <v>-0.029017857142857272</v>
      </c>
      <c r="DJ20" s="5">
        <v>-0.0597701149425287</v>
      </c>
      <c r="DK20" s="5">
        <v>-0.06519967400162997</v>
      </c>
      <c r="DL20" s="5">
        <v>0.07149084568439423</v>
      </c>
      <c r="DM20" s="5">
        <v>-0.009764035801464697</v>
      </c>
      <c r="DN20" s="5">
        <v>-0.025472473294987752</v>
      </c>
      <c r="DO20" s="5">
        <v>0.037942664418212334</v>
      </c>
      <c r="DP20" s="5">
        <v>0.05767668562144589</v>
      </c>
      <c r="DQ20" s="5">
        <v>-0.00384024577572953</v>
      </c>
      <c r="DR20" s="5">
        <v>0.07170393215111805</v>
      </c>
      <c r="DS20" s="5">
        <v>-0.17482014388489203</v>
      </c>
      <c r="DT20" s="5">
        <v>-0.20924149956408022</v>
      </c>
      <c r="DU20" s="5">
        <v>-0.10363836824696813</v>
      </c>
      <c r="DV20" s="5">
        <v>-0.05043050430504292</v>
      </c>
      <c r="DW20" s="5">
        <v>-0.15544041450777196</v>
      </c>
      <c r="DX20" s="5">
        <v>0.08435582822085894</v>
      </c>
      <c r="DY20" s="5">
        <v>0.5205091937765202</v>
      </c>
      <c r="DZ20" s="5">
        <v>0.08372093023255821</v>
      </c>
      <c r="EA20" s="5">
        <v>0.07296137339055796</v>
      </c>
      <c r="EB20" s="5">
        <v>0.13600000000000004</v>
      </c>
      <c r="EC20" s="5">
        <v>0.0856561745816649</v>
      </c>
      <c r="ED20" s="5">
        <v>0.0579152057510074</v>
      </c>
      <c r="EE20" s="5">
        <v>0.031140340643001897</v>
      </c>
      <c r="EF20" s="5">
        <v>0.0345622996112203</v>
      </c>
      <c r="EG20" s="5">
        <v>0.05578320216975689</v>
      </c>
      <c r="EH20" s="5">
        <v>0.0531187150812929</v>
      </c>
      <c r="EI20" s="5">
        <v>0.049878537067477795</v>
      </c>
      <c r="EJ20" s="5">
        <v>0.0551671400223311</v>
      </c>
      <c r="EK20" s="5">
        <v>0.0269571385179235</v>
      </c>
      <c r="EL20" s="5">
        <v>0.026714248060295497</v>
      </c>
      <c r="EM20" s="5">
        <v>0.07991952490657671</v>
      </c>
      <c r="EN20" s="5">
        <v>0.049801328654922095</v>
      </c>
      <c r="EO20" s="5">
        <v>0.0684353498941024</v>
      </c>
      <c r="EP20" s="5">
        <v>0.0623355624094208</v>
      </c>
      <c r="EQ20" s="5">
        <v>0.0665220075230069</v>
      </c>
      <c r="ER20" s="5">
        <v>0.0486142661591403</v>
      </c>
      <c r="ES20" s="5">
        <v>0.0525183358534413</v>
      </c>
      <c r="ET20" s="5">
        <v>0.0492123129139564</v>
      </c>
      <c r="EU20" s="5">
        <v>0.044913189703072794</v>
      </c>
      <c r="EV20" s="5">
        <v>0.0710945009049206</v>
      </c>
      <c r="EW20" s="5">
        <v>0.0610867761617023</v>
      </c>
      <c r="EX20" s="5">
        <v>0.0531675290605666</v>
      </c>
      <c r="EY20" s="5">
        <v>0.045113716279087904</v>
      </c>
      <c r="EZ20" s="5">
        <v>0.06344564864869269</v>
      </c>
      <c r="FA20" s="5">
        <v>0.0430084071012452</v>
      </c>
      <c r="FB20" s="5">
        <v>-0.00959867329154789</v>
      </c>
      <c r="FC20" s="5">
        <v>0.043567555213388995</v>
      </c>
      <c r="FD20" s="5">
        <v>0.0346429235913467</v>
      </c>
      <c r="FE20" s="5">
        <v>0.039785494684844595</v>
      </c>
      <c r="FF20" s="5">
        <v>0.0355000037634591</v>
      </c>
      <c r="FG20" s="5">
        <v>0.0157880122754374</v>
      </c>
      <c r="FH20" s="5">
        <v>0.010690127567096702</v>
      </c>
      <c r="FI20" s="5">
        <v>0.0250536136560163</v>
      </c>
      <c r="FJ20" s="5">
        <v>0.012408529155249799</v>
      </c>
      <c r="FK20" s="5">
        <v>0.015137078700601</v>
      </c>
      <c r="FL20" s="5">
        <v>0.016228216501733</v>
      </c>
      <c r="FM20" s="5">
        <v>0.023372356023937998</v>
      </c>
      <c r="FN20" s="5">
        <v>0.0256190869406679</v>
      </c>
      <c r="FO20" s="5">
        <v>0.0474318506127023</v>
      </c>
      <c r="FP20" s="5">
        <v>0.0434381995889572</v>
      </c>
      <c r="FQ20" s="5">
        <v>0.0292395174185515</v>
      </c>
      <c r="FR20" s="5">
        <v>0.010481802223058001</v>
      </c>
      <c r="FS20" s="5">
        <v>0.0159934649977294</v>
      </c>
      <c r="FT20" s="5">
        <v>-0.006286588469088739</v>
      </c>
      <c r="FU20" s="5">
        <v>0.0235837174390399</v>
      </c>
      <c r="FV20" s="5">
        <v>0.021066514052863</v>
      </c>
      <c r="FW20" s="5">
        <v>0.0141299601530085</v>
      </c>
      <c r="FX20" s="5">
        <v>0.0233632936675067</v>
      </c>
      <c r="FY20" s="5">
        <v>0.035886293379513996</v>
      </c>
      <c r="FZ20" s="5">
        <v>0.0342135235980006</v>
      </c>
      <c r="GA20" s="5">
        <v>0.0392371245576191</v>
      </c>
      <c r="GB20" s="5">
        <v>0.0198371211462977</v>
      </c>
      <c r="GC20" s="5">
        <v>0.011355417436923301</v>
      </c>
      <c r="GD20" s="5">
        <v>0.00823122997395163</v>
      </c>
      <c r="GE20" s="5">
        <v>0.0282979658451117</v>
      </c>
      <c r="GF20" s="5">
        <v>0.0166318213006728</v>
      </c>
      <c r="GG20" s="5">
        <v>0.0244934540139417</v>
      </c>
      <c r="GH20" s="5">
        <v>0.024247397856177598</v>
      </c>
      <c r="GI20" s="5">
        <v>0.0025493676773191997</v>
      </c>
      <c r="GJ20" s="5">
        <v>-0.028733254071544798</v>
      </c>
      <c r="GK20" s="5">
        <v>0.0194945890344995</v>
      </c>
      <c r="GL20" s="5">
        <v>0.0219267971584139</v>
      </c>
      <c r="GM20" s="5">
        <v>0.0031316447000194</v>
      </c>
      <c r="GN20" s="5">
        <v>0.00576323570182615</v>
      </c>
      <c r="GO20" s="5">
        <v>0.00956168723899057</v>
      </c>
      <c r="GP20" s="5">
        <v>0.0111291234158153</v>
      </c>
      <c r="GQ20" s="5">
        <v>0.0109546258424186</v>
      </c>
      <c r="GR20" s="5">
        <v>0.022914075239164902</v>
      </c>
      <c r="GS20" s="5">
        <v>0.018000000000000002</v>
      </c>
      <c r="GT20" s="5">
        <v>0.015</v>
      </c>
      <c r="GU20" s="5">
        <v>-0.08199999999999999</v>
      </c>
      <c r="GV20" s="5">
        <v>0.05</v>
      </c>
      <c r="GW20" s="5">
        <v>0.04</v>
      </c>
      <c r="GX20" s="5">
        <v>0.023</v>
      </c>
      <c r="GY20" s="5">
        <v>0.016</v>
      </c>
      <c r="GZ20" s="5">
        <v>0.013999999999999999</v>
      </c>
      <c r="HA20" s="5">
        <v>0.013999999999999999</v>
      </c>
      <c r="HB20" s="5">
        <v>0.013999999999999999</v>
      </c>
      <c r="HC20" s="5">
        <v>0.016</v>
      </c>
      <c r="HD20" s="5">
        <v>0.016</v>
      </c>
      <c r="HE20" s="5">
        <v>0.016</v>
      </c>
      <c r="HF20" s="5">
        <v>0.016</v>
      </c>
      <c r="HG20" s="5">
        <v>0.011</v>
      </c>
      <c r="HH20" s="5">
        <v>0.011</v>
      </c>
      <c r="HI20" s="5">
        <v>0.011</v>
      </c>
      <c r="HJ20" s="5">
        <v>0.011</v>
      </c>
      <c r="HK20" s="5">
        <v>0.011</v>
      </c>
      <c r="HL20" s="5">
        <v>0.011</v>
      </c>
      <c r="HM20" s="5">
        <v>0.011</v>
      </c>
      <c r="HN20" s="5">
        <v>0.011</v>
      </c>
      <c r="HO20" s="5">
        <v>0.011</v>
      </c>
      <c r="HP20" s="5">
        <v>0.009</v>
      </c>
      <c r="HQ20" s="5">
        <v>0.009</v>
      </c>
      <c r="HR20" s="5">
        <v>0.009</v>
      </c>
      <c r="HS20" s="5">
        <v>0.009</v>
      </c>
      <c r="HT20" s="5">
        <v>0.009</v>
      </c>
      <c r="HU20" s="5">
        <v>0.009</v>
      </c>
      <c r="HV20" s="5">
        <v>0.009</v>
      </c>
      <c r="HW20" s="5">
        <v>0.009</v>
      </c>
      <c r="HX20" s="5">
        <v>0.009</v>
      </c>
      <c r="HY20" s="5">
        <v>0.009</v>
      </c>
      <c r="HZ20" s="5">
        <v>0.009</v>
      </c>
      <c r="IA20" s="5">
        <v>0.009</v>
      </c>
      <c r="IB20" s="5">
        <v>0.009</v>
      </c>
      <c r="IC20" s="5">
        <v>0.009</v>
      </c>
      <c r="ID20" s="5">
        <v>0.009</v>
      </c>
      <c r="IE20" s="5">
        <v>0.009</v>
      </c>
      <c r="IF20" s="5">
        <v>0.009</v>
      </c>
      <c r="IG20" s="5">
        <v>0.009</v>
      </c>
      <c r="IH20" s="5">
        <v>0.009</v>
      </c>
      <c r="II20" s="5">
        <v>0.009</v>
      </c>
      <c r="IJ20" s="5">
        <v>0.009</v>
      </c>
      <c r="IK20" s="5">
        <v>0.009</v>
      </c>
      <c r="IL20" s="5">
        <v>0.009</v>
      </c>
      <c r="IM20" s="5">
        <v>0.009</v>
      </c>
      <c r="IN20" s="5">
        <v>0.009</v>
      </c>
      <c r="IO20" s="5">
        <v>0.009</v>
      </c>
      <c r="IP20" s="5">
        <v>0.009</v>
      </c>
      <c r="IQ20" s="5">
        <v>0.009</v>
      </c>
      <c r="IR20" s="5">
        <v>0.009</v>
      </c>
      <c r="IS20" s="5">
        <v>0.009</v>
      </c>
    </row>
    <row r="21" ht="14.25" customHeight="1"/>
    <row r="22" ht="14.25" customHeight="1">
      <c r="A22" s="1" t="s">
        <v>0</v>
      </c>
      <c r="B22" s="3">
        <v>1895.0</v>
      </c>
      <c r="C22" s="3">
        <v>1896.0</v>
      </c>
      <c r="D22" s="3">
        <v>1897.0</v>
      </c>
      <c r="E22" s="3">
        <v>1898.0</v>
      </c>
      <c r="F22" s="3">
        <v>1899.0</v>
      </c>
      <c r="G22" s="3">
        <v>1900.0</v>
      </c>
      <c r="H22" s="3">
        <v>1901.0</v>
      </c>
      <c r="I22" s="3">
        <v>1902.0</v>
      </c>
      <c r="J22" s="3">
        <v>1903.0</v>
      </c>
      <c r="K22" s="3">
        <v>1904.0</v>
      </c>
      <c r="L22" s="3">
        <v>1905.0</v>
      </c>
      <c r="M22" s="3">
        <v>1906.0</v>
      </c>
      <c r="N22" s="3">
        <v>1907.0</v>
      </c>
      <c r="O22" s="3">
        <v>1908.0</v>
      </c>
      <c r="P22" s="3">
        <v>1909.0</v>
      </c>
      <c r="Q22" s="3">
        <v>1910.0</v>
      </c>
      <c r="R22" s="3">
        <v>1911.0</v>
      </c>
      <c r="S22" s="3">
        <v>1912.0</v>
      </c>
      <c r="T22" s="3">
        <v>1913.0</v>
      </c>
      <c r="U22" s="3">
        <v>1914.0</v>
      </c>
      <c r="V22" s="3">
        <v>1915.0</v>
      </c>
      <c r="W22" s="3">
        <v>1916.0</v>
      </c>
      <c r="X22" s="3">
        <v>1917.0</v>
      </c>
      <c r="Y22" s="3">
        <v>1918.0</v>
      </c>
      <c r="Z22" s="3">
        <v>1919.0</v>
      </c>
      <c r="AA22" s="3">
        <v>1920.0</v>
      </c>
      <c r="AB22" s="3">
        <v>1921.0</v>
      </c>
      <c r="AC22" s="3">
        <v>1922.0</v>
      </c>
      <c r="AD22" s="3">
        <v>1923.0</v>
      </c>
      <c r="AE22" s="3">
        <v>1924.0</v>
      </c>
      <c r="AF22" s="3">
        <v>1925.0</v>
      </c>
      <c r="AG22" s="3">
        <v>1926.0</v>
      </c>
      <c r="AH22" s="3">
        <v>1927.0</v>
      </c>
      <c r="AI22" s="3">
        <v>1928.0</v>
      </c>
      <c r="AJ22" s="3">
        <v>1929.0</v>
      </c>
      <c r="AK22" s="3">
        <v>1930.0</v>
      </c>
      <c r="AL22" s="3">
        <v>1931.0</v>
      </c>
      <c r="AM22" s="3">
        <v>1932.0</v>
      </c>
      <c r="AN22" s="3">
        <v>1933.0</v>
      </c>
      <c r="AO22" s="3">
        <v>1934.0</v>
      </c>
      <c r="AP22" s="3">
        <v>1935.0</v>
      </c>
      <c r="AQ22" s="3">
        <v>1936.0</v>
      </c>
      <c r="AR22" s="3">
        <v>1937.0</v>
      </c>
      <c r="AS22" s="3">
        <v>1938.0</v>
      </c>
      <c r="AT22" s="3">
        <v>1939.0</v>
      </c>
      <c r="AU22" s="3">
        <v>1940.0</v>
      </c>
      <c r="AV22" s="3">
        <v>1941.0</v>
      </c>
      <c r="AW22" s="3">
        <v>1942.0</v>
      </c>
      <c r="AX22" s="3">
        <v>1943.0</v>
      </c>
      <c r="AY22" s="3">
        <v>1944.0</v>
      </c>
      <c r="AZ22" s="3">
        <v>1945.0</v>
      </c>
      <c r="BA22" s="3">
        <v>1946.0</v>
      </c>
      <c r="BB22" s="3">
        <v>1947.0</v>
      </c>
      <c r="BC22" s="3">
        <v>1948.0</v>
      </c>
      <c r="BD22" s="3">
        <v>1949.0</v>
      </c>
      <c r="BE22" s="3">
        <v>1950.0</v>
      </c>
      <c r="BF22" s="3">
        <v>1951.0</v>
      </c>
      <c r="BG22" s="3">
        <v>1952.0</v>
      </c>
      <c r="BH22" s="3">
        <v>1953.0</v>
      </c>
      <c r="BI22" s="3">
        <v>1954.0</v>
      </c>
      <c r="BJ22" s="3">
        <v>1955.0</v>
      </c>
      <c r="BK22" s="3">
        <v>1956.0</v>
      </c>
      <c r="BL22" s="3">
        <v>1957.0</v>
      </c>
      <c r="BM22" s="3">
        <v>1958.0</v>
      </c>
      <c r="BN22" s="3">
        <v>1959.0</v>
      </c>
      <c r="BO22" s="3">
        <v>1960.0</v>
      </c>
      <c r="BP22" s="3">
        <v>1961.0</v>
      </c>
      <c r="BQ22" s="3">
        <v>1962.0</v>
      </c>
      <c r="BR22" s="3">
        <v>1963.0</v>
      </c>
      <c r="BS22" s="3">
        <v>1964.0</v>
      </c>
      <c r="BT22" s="3">
        <v>1965.0</v>
      </c>
      <c r="BU22" s="3">
        <v>1966.0</v>
      </c>
      <c r="BV22" s="3">
        <v>1967.0</v>
      </c>
      <c r="BW22" s="3">
        <v>1968.0</v>
      </c>
      <c r="BX22" s="3">
        <v>1969.0</v>
      </c>
      <c r="BY22" s="3">
        <v>1970.0</v>
      </c>
      <c r="BZ22" s="3">
        <v>1971.0</v>
      </c>
      <c r="CA22" s="3">
        <v>1972.0</v>
      </c>
      <c r="CB22" s="3">
        <v>1973.0</v>
      </c>
      <c r="CC22" s="3">
        <v>1974.0</v>
      </c>
      <c r="CD22" s="3">
        <v>1975.0</v>
      </c>
      <c r="CE22" s="3">
        <v>1976.0</v>
      </c>
      <c r="CF22" s="3">
        <v>1977.0</v>
      </c>
      <c r="CG22" s="3">
        <v>1978.0</v>
      </c>
      <c r="CH22" s="3">
        <v>1979.0</v>
      </c>
      <c r="CI22" s="3">
        <v>1980.0</v>
      </c>
      <c r="CJ22" s="3">
        <v>1981.0</v>
      </c>
      <c r="CK22" s="3">
        <v>1982.0</v>
      </c>
      <c r="CL22" s="3">
        <v>1983.0</v>
      </c>
      <c r="CM22" s="3">
        <v>1984.0</v>
      </c>
      <c r="CN22" s="3">
        <v>1985.0</v>
      </c>
      <c r="CO22" s="3">
        <v>1986.0</v>
      </c>
      <c r="CP22" s="3">
        <v>1987.0</v>
      </c>
      <c r="CQ22" s="3">
        <v>1988.0</v>
      </c>
      <c r="CR22" s="3">
        <v>1989.0</v>
      </c>
      <c r="CS22" s="3">
        <v>1990.0</v>
      </c>
      <c r="CT22" s="3">
        <v>1991.0</v>
      </c>
      <c r="CU22" s="3">
        <v>1992.0</v>
      </c>
      <c r="CV22" s="3">
        <v>1993.0</v>
      </c>
      <c r="CW22" s="3">
        <v>1994.0</v>
      </c>
      <c r="CX22" s="3">
        <v>1995.0</v>
      </c>
      <c r="CY22" s="3">
        <v>1996.0</v>
      </c>
      <c r="CZ22" s="3">
        <v>1997.0</v>
      </c>
      <c r="DA22" s="3">
        <v>1998.0</v>
      </c>
      <c r="DB22" s="3">
        <v>1999.0</v>
      </c>
      <c r="DC22" s="3">
        <v>2000.0</v>
      </c>
      <c r="DD22" s="3">
        <v>2001.0</v>
      </c>
      <c r="DE22" s="3">
        <v>2002.0</v>
      </c>
      <c r="DF22" s="3">
        <v>2003.0</v>
      </c>
      <c r="DG22" s="3">
        <v>2004.0</v>
      </c>
      <c r="DH22" s="3">
        <v>2005.0</v>
      </c>
      <c r="DI22" s="3">
        <v>2006.0</v>
      </c>
      <c r="DJ22" s="3">
        <v>2007.0</v>
      </c>
      <c r="DK22" s="3">
        <v>2008.0</v>
      </c>
      <c r="DL22" s="3">
        <v>2009.0</v>
      </c>
      <c r="DM22" s="3">
        <v>2010.0</v>
      </c>
      <c r="DN22" s="3">
        <v>2011.0</v>
      </c>
      <c r="DO22" s="3">
        <v>2012.0</v>
      </c>
      <c r="DP22" s="3">
        <v>2013.0</v>
      </c>
      <c r="DQ22" s="3">
        <v>2014.0</v>
      </c>
      <c r="DR22" s="3">
        <v>2015.0</v>
      </c>
      <c r="DS22" s="3">
        <v>2016.0</v>
      </c>
      <c r="DT22" s="3">
        <v>2017.0</v>
      </c>
      <c r="DU22" s="3">
        <v>2018.0</v>
      </c>
      <c r="DV22" s="3">
        <v>2019.0</v>
      </c>
      <c r="DW22" s="3">
        <v>2020.0</v>
      </c>
      <c r="DX22" s="1">
        <v>2021.0</v>
      </c>
      <c r="DY22" s="3">
        <v>2022.0</v>
      </c>
      <c r="DZ22" s="1">
        <v>2023.0</v>
      </c>
      <c r="EA22" s="3">
        <v>2024.0</v>
      </c>
      <c r="EB22" s="1">
        <v>2025.0</v>
      </c>
      <c r="EC22" s="3">
        <v>2026.0</v>
      </c>
      <c r="ED22" s="1">
        <v>2027.0</v>
      </c>
      <c r="EE22" s="3">
        <v>2028.0</v>
      </c>
      <c r="EF22" s="1">
        <v>2029.0</v>
      </c>
      <c r="EG22" s="3">
        <v>2030.0</v>
      </c>
      <c r="EH22" s="1">
        <v>2031.0</v>
      </c>
      <c r="EI22" s="3">
        <v>2032.0</v>
      </c>
      <c r="EJ22" s="1">
        <v>2033.0</v>
      </c>
      <c r="EK22" s="3">
        <v>2034.0</v>
      </c>
      <c r="EL22" s="1">
        <v>2035.0</v>
      </c>
      <c r="EM22" s="3">
        <v>2036.0</v>
      </c>
      <c r="EN22" s="1">
        <v>2037.0</v>
      </c>
      <c r="EO22" s="3">
        <v>2038.0</v>
      </c>
      <c r="EP22" s="1">
        <v>2039.0</v>
      </c>
      <c r="EQ22" s="3">
        <v>2040.0</v>
      </c>
      <c r="ER22" s="1">
        <v>2041.0</v>
      </c>
      <c r="ES22" s="3">
        <v>2042.0</v>
      </c>
      <c r="ET22" s="1">
        <v>2043.0</v>
      </c>
      <c r="EU22" s="3">
        <v>2044.0</v>
      </c>
      <c r="EV22" s="1">
        <v>2045.0</v>
      </c>
      <c r="EW22" s="3">
        <v>2046.0</v>
      </c>
      <c r="EX22" s="1">
        <v>2047.0</v>
      </c>
      <c r="EY22" s="3">
        <v>2048.0</v>
      </c>
      <c r="EZ22" s="1">
        <v>2049.0</v>
      </c>
      <c r="FA22" s="3">
        <v>2050.0</v>
      </c>
      <c r="FB22" s="1">
        <v>2051.0</v>
      </c>
      <c r="FC22" s="3">
        <v>2052.0</v>
      </c>
      <c r="FD22" s="1">
        <v>2053.0</v>
      </c>
      <c r="FE22" s="3">
        <v>2054.0</v>
      </c>
      <c r="FF22" s="1">
        <v>2055.0</v>
      </c>
      <c r="FG22" s="3">
        <v>2056.0</v>
      </c>
      <c r="FH22" s="1">
        <v>2057.0</v>
      </c>
      <c r="FI22" s="3">
        <v>2058.0</v>
      </c>
      <c r="FJ22" s="1">
        <v>2059.0</v>
      </c>
      <c r="FK22" s="3">
        <v>2060.0</v>
      </c>
      <c r="FL22" s="1">
        <v>2061.0</v>
      </c>
      <c r="FM22" s="3">
        <v>2062.0</v>
      </c>
      <c r="FN22" s="1">
        <v>2063.0</v>
      </c>
      <c r="FO22" s="3">
        <v>2064.0</v>
      </c>
      <c r="FP22" s="1">
        <v>2065.0</v>
      </c>
      <c r="FQ22" s="3">
        <v>2066.0</v>
      </c>
      <c r="FR22" s="1">
        <v>2067.0</v>
      </c>
      <c r="FS22" s="3">
        <v>2068.0</v>
      </c>
      <c r="FT22" s="1">
        <v>2069.0</v>
      </c>
      <c r="FU22" s="3">
        <v>2070.0</v>
      </c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</row>
    <row r="23" ht="14.25" customHeight="1">
      <c r="A23" s="4" t="s">
        <v>21</v>
      </c>
      <c r="B23" s="5">
        <v>-0.020604395604395667</v>
      </c>
      <c r="C23" s="5">
        <v>0.047685834502103966</v>
      </c>
      <c r="D23" s="5">
        <v>-0.013386880856760368</v>
      </c>
      <c r="E23" s="5">
        <v>0.04884667571234714</v>
      </c>
      <c r="F23" s="5">
        <v>0.05692108667529124</v>
      </c>
      <c r="G23" s="5">
        <v>-0.011015911872705125</v>
      </c>
      <c r="H23" s="5">
        <v>-0.016089108910890996</v>
      </c>
      <c r="I23" s="5">
        <v>-0.016352201257861666</v>
      </c>
      <c r="J23" s="5">
        <v>0.02173913043478269</v>
      </c>
      <c r="K23" s="5">
        <v>0.007509386733416717</v>
      </c>
      <c r="L23" s="5">
        <v>0.01739130434782613</v>
      </c>
      <c r="M23" s="5">
        <v>0.018315018315018368</v>
      </c>
      <c r="N23" s="5">
        <v>0.04316546762589909</v>
      </c>
      <c r="O23" s="5">
        <v>-0.005747126436781549</v>
      </c>
      <c r="P23" s="5">
        <v>0.04161849710982641</v>
      </c>
      <c r="Q23" s="5">
        <v>-0.06104328523862368</v>
      </c>
      <c r="R23" s="5">
        <v>0.0981087470449175</v>
      </c>
      <c r="S23" s="5">
        <v>0.08288482238966602</v>
      </c>
      <c r="T23" s="5">
        <v>-0.005964214711729481</v>
      </c>
      <c r="U23" s="5">
        <v>-0.07099999999999988</v>
      </c>
      <c r="V23" s="5">
        <v>-0.02045209903121656</v>
      </c>
      <c r="W23" s="5">
        <v>0.0505494505494506</v>
      </c>
      <c r="X23" s="5">
        <v>-0.15271966527196654</v>
      </c>
      <c r="Y23" s="5">
        <v>-0.21111111111111117</v>
      </c>
      <c r="Z23" s="5">
        <v>0.17840375586854462</v>
      </c>
      <c r="AA23" s="5">
        <v>0.15670650730411678</v>
      </c>
      <c r="AB23" s="5">
        <v>-0.041331802525832205</v>
      </c>
      <c r="AC23" s="5">
        <v>0.1796407185628743</v>
      </c>
      <c r="AD23" s="5">
        <v>0.051776649746192775</v>
      </c>
      <c r="AE23" s="5">
        <v>0.12548262548262554</v>
      </c>
      <c r="AF23" s="5">
        <v>0.004288164665523024</v>
      </c>
      <c r="AG23" s="5">
        <v>0.026473099914603164</v>
      </c>
      <c r="AH23" s="5">
        <v>-0.020798668885191378</v>
      </c>
      <c r="AI23" s="5">
        <v>0.06966864910790142</v>
      </c>
      <c r="AJ23" s="5">
        <v>0.06751389992057188</v>
      </c>
      <c r="AK23" s="5">
        <v>-0.029017857142857272</v>
      </c>
      <c r="AL23" s="5">
        <v>-0.0597701149425287</v>
      </c>
      <c r="AM23" s="5">
        <v>-0.06519967400162997</v>
      </c>
      <c r="AN23" s="5">
        <v>0.07149084568439423</v>
      </c>
      <c r="AO23" s="5">
        <v>-0.009764035801464697</v>
      </c>
      <c r="AP23" s="5">
        <v>-0.025472473294987752</v>
      </c>
      <c r="AQ23" s="5">
        <v>0.037942664418212334</v>
      </c>
      <c r="AR23" s="5">
        <v>0.05767668562144589</v>
      </c>
      <c r="AS23" s="5">
        <v>-0.00384024577572953</v>
      </c>
      <c r="AT23" s="5">
        <v>0.07170393215111805</v>
      </c>
      <c r="AU23" s="5">
        <v>-0.17482014388489203</v>
      </c>
      <c r="AV23" s="5">
        <v>-0.20924149956408022</v>
      </c>
      <c r="AW23" s="5">
        <v>-0.10363836824696813</v>
      </c>
      <c r="AX23" s="5">
        <v>-0.05043050430504292</v>
      </c>
      <c r="AY23" s="5">
        <v>-0.15544041450777196</v>
      </c>
      <c r="AZ23" s="5">
        <v>0.08435582822085894</v>
      </c>
      <c r="BA23" s="5">
        <v>0.5205091937765202</v>
      </c>
      <c r="BB23" s="5">
        <v>0.08372093023255821</v>
      </c>
      <c r="BC23" s="5">
        <v>0.07296137339055796</v>
      </c>
      <c r="BD23" s="5">
        <v>0.13600000000000004</v>
      </c>
      <c r="BE23" s="5">
        <v>0.0856561745816649</v>
      </c>
      <c r="BF23" s="5">
        <v>0.0579152057510074</v>
      </c>
      <c r="BG23" s="5">
        <v>0.031140340643001897</v>
      </c>
      <c r="BH23" s="5">
        <v>0.0345622996112203</v>
      </c>
      <c r="BI23" s="5">
        <v>0.05578320216975689</v>
      </c>
      <c r="BJ23" s="5">
        <v>0.0531187150812929</v>
      </c>
      <c r="BK23" s="5">
        <v>0.049878537067477795</v>
      </c>
      <c r="BL23" s="5">
        <v>0.0551671400223311</v>
      </c>
      <c r="BM23" s="5">
        <v>0.0269571385179235</v>
      </c>
      <c r="BN23" s="5">
        <v>0.026714248060295497</v>
      </c>
      <c r="BO23" s="5">
        <v>0.07991952490657671</v>
      </c>
      <c r="BP23" s="5">
        <v>0.049801328654922095</v>
      </c>
      <c r="BQ23" s="5">
        <v>0.0684353498941024</v>
      </c>
      <c r="BR23" s="5">
        <v>0.0623355624094208</v>
      </c>
      <c r="BS23" s="5">
        <v>0.0665220075230069</v>
      </c>
      <c r="BT23" s="5">
        <v>0.0486142661591403</v>
      </c>
      <c r="BU23" s="5">
        <v>0.0525183358534413</v>
      </c>
      <c r="BV23" s="5">
        <v>0.0492123129139564</v>
      </c>
      <c r="BW23" s="5">
        <v>0.044913189703072794</v>
      </c>
      <c r="BX23" s="5">
        <v>0.0710945009049206</v>
      </c>
      <c r="BY23" s="5">
        <v>0.0610867761617023</v>
      </c>
      <c r="BZ23" s="5">
        <v>0.0531675290605666</v>
      </c>
      <c r="CA23" s="5">
        <v>0.045113716279087904</v>
      </c>
      <c r="CB23" s="5">
        <v>0.06344564864869269</v>
      </c>
      <c r="CC23" s="5">
        <v>0.0430084071012452</v>
      </c>
      <c r="CD23" s="5">
        <v>-0.00959867329154789</v>
      </c>
      <c r="CE23" s="5">
        <v>0.043567555213388995</v>
      </c>
      <c r="CF23" s="5">
        <v>0.0346429235913467</v>
      </c>
      <c r="CG23" s="5">
        <v>0.039785494684844595</v>
      </c>
      <c r="CH23" s="5">
        <v>0.0355000037634591</v>
      </c>
      <c r="CI23" s="5">
        <v>0.0157880122754374</v>
      </c>
      <c r="CJ23" s="5">
        <v>0.010690127567096702</v>
      </c>
      <c r="CK23" s="5">
        <v>0.0250536136560163</v>
      </c>
      <c r="CL23" s="5">
        <v>0.012408529155249799</v>
      </c>
      <c r="CM23" s="5">
        <v>0.015137078700601</v>
      </c>
      <c r="CN23" s="5">
        <v>0.016228216501733</v>
      </c>
      <c r="CO23" s="5">
        <v>0.023372356023937998</v>
      </c>
      <c r="CP23" s="5">
        <v>0.0256190869406679</v>
      </c>
      <c r="CQ23" s="5">
        <v>0.0474318506127023</v>
      </c>
      <c r="CR23" s="5">
        <v>0.0434381995889572</v>
      </c>
      <c r="CS23" s="5">
        <v>0.0292395174185515</v>
      </c>
      <c r="CT23" s="5">
        <v>0.010481802223058001</v>
      </c>
      <c r="CU23" s="5">
        <v>0.0159934649977294</v>
      </c>
      <c r="CV23" s="5">
        <v>-0.006286588469088739</v>
      </c>
      <c r="CW23" s="5">
        <v>0.0235837174390399</v>
      </c>
      <c r="CX23" s="5">
        <v>0.021066514052863</v>
      </c>
      <c r="CY23" s="5">
        <v>0.0141299601530085</v>
      </c>
      <c r="CZ23" s="5">
        <v>0.0233632936675067</v>
      </c>
      <c r="DA23" s="5">
        <v>0.035886293379513996</v>
      </c>
      <c r="DB23" s="5">
        <v>0.0342135235980006</v>
      </c>
      <c r="DC23" s="5">
        <v>0.0392371245576191</v>
      </c>
      <c r="DD23" s="5">
        <v>0.0198371211462977</v>
      </c>
      <c r="DE23" s="5">
        <v>0.011355417436923301</v>
      </c>
      <c r="DF23" s="5">
        <v>0.00823122997395163</v>
      </c>
      <c r="DG23" s="5">
        <v>0.0282979658451117</v>
      </c>
      <c r="DH23" s="5">
        <v>0.0166318213006728</v>
      </c>
      <c r="DI23" s="5">
        <v>0.0244934540139417</v>
      </c>
      <c r="DJ23" s="5">
        <v>0.024247397856177598</v>
      </c>
      <c r="DK23" s="5">
        <v>0.0025493676773191997</v>
      </c>
      <c r="DL23" s="5">
        <v>-0.028733254071544798</v>
      </c>
      <c r="DM23" s="5">
        <v>0.0194945890344995</v>
      </c>
      <c r="DN23" s="5">
        <v>0.0219267971584139</v>
      </c>
      <c r="DO23" s="5">
        <v>0.0031316447000194</v>
      </c>
      <c r="DP23" s="5">
        <v>0.00576323570182615</v>
      </c>
      <c r="DQ23" s="5">
        <v>0.00956168723899057</v>
      </c>
      <c r="DR23" s="5">
        <v>0.0111291234158153</v>
      </c>
      <c r="DS23" s="5">
        <v>0.0109546258424186</v>
      </c>
      <c r="DT23" s="5">
        <v>0.022914075239164902</v>
      </c>
      <c r="DU23" s="5">
        <v>0.018000000000000002</v>
      </c>
      <c r="DV23" s="5">
        <v>0.015</v>
      </c>
      <c r="DW23" s="5">
        <v>-0.08199999999999999</v>
      </c>
      <c r="DX23" s="5">
        <v>0.05</v>
      </c>
      <c r="DY23" s="5">
        <v>0.04</v>
      </c>
      <c r="DZ23" s="5">
        <v>0.023</v>
      </c>
      <c r="EA23" s="5">
        <v>0.016</v>
      </c>
      <c r="EB23" s="5">
        <v>0.013999999999999999</v>
      </c>
      <c r="EC23" s="5">
        <v>0.013999999999999999</v>
      </c>
      <c r="ED23" s="5">
        <v>0.013999999999999999</v>
      </c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</row>
    <row r="24" ht="14.25" customHeight="1">
      <c r="A24" s="4" t="s">
        <v>22</v>
      </c>
      <c r="B24" s="5">
        <v>-0.020604395604395667</v>
      </c>
      <c r="C24" s="5">
        <v>0.047685834502103966</v>
      </c>
      <c r="D24" s="5">
        <v>-0.013386880856760368</v>
      </c>
      <c r="E24" s="5">
        <v>0.04884667571234714</v>
      </c>
      <c r="F24" s="5">
        <v>0.05692108667529124</v>
      </c>
      <c r="G24" s="5">
        <v>-0.011015911872705125</v>
      </c>
      <c r="H24" s="5">
        <v>-0.016089108910890996</v>
      </c>
      <c r="I24" s="5">
        <v>-0.016352201257861666</v>
      </c>
      <c r="J24" s="5">
        <v>0.02173913043478269</v>
      </c>
      <c r="K24" s="5">
        <v>0.007509386733416717</v>
      </c>
      <c r="L24" s="5">
        <v>0.01739130434782613</v>
      </c>
      <c r="M24" s="5">
        <v>0.018315018315018368</v>
      </c>
      <c r="N24" s="5">
        <v>0.04316546762589909</v>
      </c>
      <c r="O24" s="5">
        <v>-0.005747126436781549</v>
      </c>
      <c r="P24" s="5">
        <v>0.04161849710982641</v>
      </c>
      <c r="Q24" s="5">
        <v>-0.06104328523862368</v>
      </c>
      <c r="R24" s="5">
        <v>0.0981087470449175</v>
      </c>
      <c r="S24" s="5">
        <v>0.08288482238966602</v>
      </c>
      <c r="T24" s="5">
        <v>-0.005964214711729481</v>
      </c>
      <c r="U24" s="5">
        <v>-0.07099999999999988</v>
      </c>
      <c r="V24" s="5">
        <v>-0.02045209903121656</v>
      </c>
      <c r="W24" s="5">
        <v>0.0505494505494506</v>
      </c>
      <c r="X24" s="5">
        <v>-0.15271966527196654</v>
      </c>
      <c r="Y24" s="5">
        <v>-0.21111111111111117</v>
      </c>
      <c r="Z24" s="5">
        <v>0.17840375586854462</v>
      </c>
      <c r="AA24" s="5">
        <v>0.15670650730411678</v>
      </c>
      <c r="AB24" s="5">
        <v>-0.041331802525832205</v>
      </c>
      <c r="AC24" s="5">
        <v>0.1796407185628743</v>
      </c>
      <c r="AD24" s="5">
        <v>0.051776649746192775</v>
      </c>
      <c r="AE24" s="5">
        <v>0.12548262548262554</v>
      </c>
      <c r="AF24" s="5">
        <v>0.004288164665523024</v>
      </c>
      <c r="AG24" s="5">
        <v>0.026473099914603164</v>
      </c>
      <c r="AH24" s="5">
        <v>-0.020798668885191378</v>
      </c>
      <c r="AI24" s="5">
        <v>0.06966864910790142</v>
      </c>
      <c r="AJ24" s="5">
        <v>0.06751389992057188</v>
      </c>
      <c r="AK24" s="5">
        <v>-0.029017857142857272</v>
      </c>
      <c r="AL24" s="5">
        <v>-0.0597701149425287</v>
      </c>
      <c r="AM24" s="5">
        <v>-0.06519967400162997</v>
      </c>
      <c r="AN24" s="5">
        <v>0.07149084568439423</v>
      </c>
      <c r="AO24" s="5">
        <v>-0.009764035801464697</v>
      </c>
      <c r="AP24" s="5">
        <v>-0.025472473294987752</v>
      </c>
      <c r="AQ24" s="5">
        <v>0.037942664418212334</v>
      </c>
      <c r="AR24" s="5">
        <v>0.05767668562144589</v>
      </c>
      <c r="AS24" s="5">
        <v>-0.00384024577572953</v>
      </c>
      <c r="AT24" s="5">
        <v>0.07170393215111805</v>
      </c>
      <c r="AU24" s="5">
        <v>-0.17482014388489203</v>
      </c>
      <c r="AV24" s="5">
        <v>-0.20924149956408022</v>
      </c>
      <c r="AW24" s="5">
        <v>-0.10363836824696813</v>
      </c>
      <c r="AX24" s="5">
        <v>-0.05043050430504292</v>
      </c>
      <c r="AY24" s="5">
        <v>-0.15544041450777196</v>
      </c>
      <c r="AZ24" s="5">
        <v>0.08435582822085894</v>
      </c>
      <c r="BA24" s="5">
        <v>0.5205091937765202</v>
      </c>
      <c r="BB24" s="5">
        <v>0.08372093023255821</v>
      </c>
      <c r="BC24" s="5">
        <v>0.07296137339055796</v>
      </c>
      <c r="BD24" s="5">
        <v>0.13600000000000004</v>
      </c>
      <c r="BE24" s="5">
        <v>0.0856561745816649</v>
      </c>
      <c r="BF24" s="5">
        <v>0.0579152057510074</v>
      </c>
      <c r="BG24" s="5">
        <v>0.031140340643001897</v>
      </c>
      <c r="BH24" s="5">
        <v>0.0345622996112203</v>
      </c>
      <c r="BI24" s="5">
        <v>0.05578320216975689</v>
      </c>
      <c r="BJ24" s="5">
        <v>0.0531187150812929</v>
      </c>
      <c r="BK24" s="5">
        <v>0.049878537067477795</v>
      </c>
      <c r="BL24" s="5">
        <v>0.0551671400223311</v>
      </c>
      <c r="BM24" s="5">
        <v>0.0269571385179235</v>
      </c>
      <c r="BN24" s="5">
        <v>0.026714248060295497</v>
      </c>
      <c r="BO24" s="5">
        <v>0.07991952490657671</v>
      </c>
      <c r="BP24" s="5">
        <v>0.049801328654922095</v>
      </c>
      <c r="BQ24" s="5">
        <v>0.0684353498941024</v>
      </c>
      <c r="BR24" s="5">
        <v>0.0623355624094208</v>
      </c>
      <c r="BS24" s="5">
        <v>0.0665220075230069</v>
      </c>
      <c r="BT24" s="5">
        <v>0.0486142661591403</v>
      </c>
      <c r="BU24" s="5">
        <v>0.0525183358534413</v>
      </c>
      <c r="BV24" s="5">
        <v>0.0492123129139564</v>
      </c>
      <c r="BW24" s="5">
        <v>0.044913189703072794</v>
      </c>
      <c r="BX24" s="5">
        <v>0.0710945009049206</v>
      </c>
      <c r="BY24" s="5">
        <v>0.0610867761617023</v>
      </c>
      <c r="BZ24" s="5">
        <v>0.0531675290605666</v>
      </c>
      <c r="CA24" s="5">
        <v>0.045113716279087904</v>
      </c>
      <c r="CB24" s="5">
        <v>0.06344564864869269</v>
      </c>
      <c r="CC24" s="5">
        <v>0.0430084071012452</v>
      </c>
      <c r="CD24" s="5">
        <v>-0.00959867329154789</v>
      </c>
      <c r="CE24" s="5">
        <v>0.043567555213388995</v>
      </c>
      <c r="CF24" s="5">
        <v>0.0346429235913467</v>
      </c>
      <c r="CG24" s="5">
        <v>0.039785494684844595</v>
      </c>
      <c r="CH24" s="5">
        <v>0.0355000037634591</v>
      </c>
      <c r="CI24" s="5">
        <v>0.0157880122754374</v>
      </c>
      <c r="CJ24" s="5">
        <v>0.010690127567096702</v>
      </c>
      <c r="CK24" s="5">
        <v>0.0250536136560163</v>
      </c>
      <c r="CL24" s="5">
        <v>0.012408529155249799</v>
      </c>
      <c r="CM24" s="5">
        <v>0.015137078700601</v>
      </c>
      <c r="CN24" s="5">
        <v>0.016228216501733</v>
      </c>
      <c r="CO24" s="5">
        <v>0.023372356023937998</v>
      </c>
      <c r="CP24" s="5">
        <v>0.0256190869406679</v>
      </c>
      <c r="CQ24" s="5">
        <v>0.0474318506127023</v>
      </c>
      <c r="CR24" s="5">
        <v>0.0434381995889572</v>
      </c>
      <c r="CS24" s="5">
        <v>0.0292395174185515</v>
      </c>
      <c r="CT24" s="5">
        <v>0.010481802223058001</v>
      </c>
      <c r="CU24" s="5">
        <v>0.0159934649977294</v>
      </c>
      <c r="CV24" s="5">
        <v>-0.006286588469088739</v>
      </c>
      <c r="CW24" s="5">
        <v>0.0235837174390399</v>
      </c>
      <c r="CX24" s="5">
        <v>0.021066514052863</v>
      </c>
      <c r="CY24" s="5">
        <v>0.0141299601530085</v>
      </c>
      <c r="CZ24" s="5">
        <v>0.0233632936675067</v>
      </c>
      <c r="DA24" s="5">
        <v>0.035886293379513996</v>
      </c>
      <c r="DB24" s="5">
        <v>0.0342135235980006</v>
      </c>
      <c r="DC24" s="5">
        <v>0.0392371245576191</v>
      </c>
      <c r="DD24" s="5">
        <v>0.0198371211462977</v>
      </c>
      <c r="DE24" s="5">
        <v>0.011355417436923301</v>
      </c>
      <c r="DF24" s="5">
        <v>0.00823122997395163</v>
      </c>
      <c r="DG24" s="5">
        <v>0.0282979658451117</v>
      </c>
      <c r="DH24" s="5">
        <v>0.0166318213006728</v>
      </c>
      <c r="DI24" s="5">
        <v>0.0244934540139417</v>
      </c>
      <c r="DJ24" s="5">
        <v>0.024247397856177598</v>
      </c>
      <c r="DK24" s="5">
        <v>0.0025493676773191997</v>
      </c>
      <c r="DL24" s="5">
        <v>-0.028733254071544798</v>
      </c>
      <c r="DM24" s="5">
        <v>0.0194945890344995</v>
      </c>
      <c r="DN24" s="5">
        <v>0.0219267971584139</v>
      </c>
      <c r="DO24" s="5">
        <v>0.0031316447000194</v>
      </c>
      <c r="DP24" s="5">
        <v>0.00576323570182615</v>
      </c>
      <c r="DQ24" s="5">
        <v>0.00956168723899057</v>
      </c>
      <c r="DR24" s="5">
        <v>0.0111291234158153</v>
      </c>
      <c r="DS24" s="5">
        <v>0.0109546258424186</v>
      </c>
      <c r="DT24" s="5">
        <v>0.022914075239164902</v>
      </c>
      <c r="DU24" s="5">
        <v>0.018000000000000002</v>
      </c>
      <c r="DV24" s="5">
        <v>0.015</v>
      </c>
      <c r="DW24" s="5">
        <v>-0.08199999999999999</v>
      </c>
      <c r="DX24" s="5">
        <v>0.05</v>
      </c>
      <c r="DY24" s="5">
        <v>0.04</v>
      </c>
      <c r="DZ24" s="5">
        <v>0.023</v>
      </c>
      <c r="EA24" s="5">
        <v>0.016</v>
      </c>
      <c r="EB24" s="5">
        <v>0.013999999999999999</v>
      </c>
      <c r="EC24" s="5">
        <v>0.013999999999999999</v>
      </c>
      <c r="ED24" s="5">
        <v>0.013999999999999999</v>
      </c>
      <c r="EE24" s="5">
        <v>0.017</v>
      </c>
      <c r="EF24" s="5">
        <v>0.017</v>
      </c>
      <c r="EG24" s="5">
        <v>0.017</v>
      </c>
      <c r="EH24" s="5">
        <v>0.017</v>
      </c>
      <c r="EI24" s="5">
        <v>0.019</v>
      </c>
      <c r="EJ24" s="5">
        <v>0.019</v>
      </c>
      <c r="EK24" s="5">
        <v>0.019</v>
      </c>
      <c r="EL24" s="5">
        <v>0.019</v>
      </c>
      <c r="EM24" s="5">
        <v>0.019</v>
      </c>
      <c r="EN24" s="5">
        <v>0.019</v>
      </c>
      <c r="EO24" s="5">
        <v>0.019</v>
      </c>
      <c r="EP24" s="5">
        <v>0.019</v>
      </c>
      <c r="EQ24" s="5">
        <v>0.019</v>
      </c>
      <c r="ER24" s="5">
        <v>0.017</v>
      </c>
      <c r="ES24" s="5">
        <v>0.017</v>
      </c>
      <c r="ET24" s="5">
        <v>0.017</v>
      </c>
      <c r="EU24" s="5">
        <v>0.017</v>
      </c>
      <c r="EV24" s="5">
        <v>0.017</v>
      </c>
      <c r="EW24" s="5">
        <v>0.017</v>
      </c>
      <c r="EX24" s="5">
        <v>0.017</v>
      </c>
      <c r="EY24" s="5">
        <v>0.017</v>
      </c>
      <c r="EZ24" s="5">
        <v>0.017</v>
      </c>
      <c r="FA24" s="5">
        <v>0.017</v>
      </c>
      <c r="FB24" s="5">
        <v>0.017</v>
      </c>
      <c r="FC24" s="5">
        <v>0.017</v>
      </c>
      <c r="FD24" s="5">
        <v>0.017</v>
      </c>
      <c r="FE24" s="5">
        <v>0.017</v>
      </c>
      <c r="FF24" s="5">
        <v>0.017</v>
      </c>
      <c r="FG24" s="5">
        <v>0.017</v>
      </c>
      <c r="FH24" s="5">
        <v>0.017</v>
      </c>
      <c r="FI24" s="5">
        <v>0.017</v>
      </c>
      <c r="FJ24" s="5">
        <v>0.017</v>
      </c>
      <c r="FK24" s="5">
        <v>0.017</v>
      </c>
      <c r="FL24" s="5">
        <v>0.017</v>
      </c>
      <c r="FM24" s="5">
        <v>0.017</v>
      </c>
      <c r="FN24" s="5">
        <v>0.017</v>
      </c>
      <c r="FO24" s="5">
        <v>0.017</v>
      </c>
      <c r="FP24" s="5">
        <v>0.017</v>
      </c>
      <c r="FQ24" s="5">
        <v>0.017</v>
      </c>
      <c r="FR24" s="5">
        <v>0.017</v>
      </c>
      <c r="FS24" s="5">
        <v>0.017</v>
      </c>
      <c r="FT24" s="5">
        <v>0.017</v>
      </c>
      <c r="FU24" s="5">
        <v>0.017</v>
      </c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</row>
    <row r="25" ht="14.25" customHeight="1">
      <c r="A25" s="4" t="s">
        <v>23</v>
      </c>
      <c r="B25" s="5">
        <v>-0.020604395604395667</v>
      </c>
      <c r="C25" s="5">
        <v>0.047685834502103966</v>
      </c>
      <c r="D25" s="5">
        <v>-0.013386880856760368</v>
      </c>
      <c r="E25" s="5">
        <v>0.04884667571234714</v>
      </c>
      <c r="F25" s="5">
        <v>0.05692108667529124</v>
      </c>
      <c r="G25" s="5">
        <v>-0.011015911872705125</v>
      </c>
      <c r="H25" s="5">
        <v>-0.016089108910890996</v>
      </c>
      <c r="I25" s="5">
        <v>-0.016352201257861666</v>
      </c>
      <c r="J25" s="5">
        <v>0.02173913043478269</v>
      </c>
      <c r="K25" s="5">
        <v>0.007509386733416717</v>
      </c>
      <c r="L25" s="5">
        <v>0.01739130434782613</v>
      </c>
      <c r="M25" s="5">
        <v>0.018315018315018368</v>
      </c>
      <c r="N25" s="5">
        <v>0.04316546762589909</v>
      </c>
      <c r="O25" s="5">
        <v>-0.005747126436781549</v>
      </c>
      <c r="P25" s="5">
        <v>0.04161849710982641</v>
      </c>
      <c r="Q25" s="5">
        <v>-0.06104328523862368</v>
      </c>
      <c r="R25" s="5">
        <v>0.0981087470449175</v>
      </c>
      <c r="S25" s="5">
        <v>0.08288482238966602</v>
      </c>
      <c r="T25" s="5">
        <v>-0.005964214711729481</v>
      </c>
      <c r="U25" s="5">
        <v>-0.07099999999999988</v>
      </c>
      <c r="V25" s="5">
        <v>-0.02045209903121656</v>
      </c>
      <c r="W25" s="5">
        <v>0.0505494505494506</v>
      </c>
      <c r="X25" s="5">
        <v>-0.15271966527196654</v>
      </c>
      <c r="Y25" s="5">
        <v>-0.21111111111111117</v>
      </c>
      <c r="Z25" s="5">
        <v>0.17840375586854462</v>
      </c>
      <c r="AA25" s="5">
        <v>0.15670650730411678</v>
      </c>
      <c r="AB25" s="5">
        <v>-0.041331802525832205</v>
      </c>
      <c r="AC25" s="5">
        <v>0.1796407185628743</v>
      </c>
      <c r="AD25" s="5">
        <v>0.051776649746192775</v>
      </c>
      <c r="AE25" s="5">
        <v>0.12548262548262554</v>
      </c>
      <c r="AF25" s="5">
        <v>0.004288164665523024</v>
      </c>
      <c r="AG25" s="5">
        <v>0.026473099914603164</v>
      </c>
      <c r="AH25" s="5">
        <v>-0.020798668885191378</v>
      </c>
      <c r="AI25" s="5">
        <v>0.06966864910790142</v>
      </c>
      <c r="AJ25" s="5">
        <v>0.06751389992057188</v>
      </c>
      <c r="AK25" s="5">
        <v>-0.029017857142857272</v>
      </c>
      <c r="AL25" s="5">
        <v>-0.0597701149425287</v>
      </c>
      <c r="AM25" s="5">
        <v>-0.06519967400162997</v>
      </c>
      <c r="AN25" s="5">
        <v>0.07149084568439423</v>
      </c>
      <c r="AO25" s="5">
        <v>-0.009764035801464697</v>
      </c>
      <c r="AP25" s="5">
        <v>-0.025472473294987752</v>
      </c>
      <c r="AQ25" s="5">
        <v>0.037942664418212334</v>
      </c>
      <c r="AR25" s="5">
        <v>0.05767668562144589</v>
      </c>
      <c r="AS25" s="5">
        <v>-0.00384024577572953</v>
      </c>
      <c r="AT25" s="5">
        <v>0.07170393215111805</v>
      </c>
      <c r="AU25" s="5">
        <v>-0.17482014388489203</v>
      </c>
      <c r="AV25" s="5">
        <v>-0.20924149956408022</v>
      </c>
      <c r="AW25" s="5">
        <v>-0.10363836824696813</v>
      </c>
      <c r="AX25" s="5">
        <v>-0.05043050430504292</v>
      </c>
      <c r="AY25" s="5">
        <v>-0.15544041450777196</v>
      </c>
      <c r="AZ25" s="5">
        <v>0.08435582822085894</v>
      </c>
      <c r="BA25" s="5">
        <v>0.5205091937765202</v>
      </c>
      <c r="BB25" s="5">
        <v>0.08372093023255821</v>
      </c>
      <c r="BC25" s="5">
        <v>0.07296137339055796</v>
      </c>
      <c r="BD25" s="5">
        <v>0.13600000000000004</v>
      </c>
      <c r="BE25" s="5">
        <v>0.0856561745816649</v>
      </c>
      <c r="BF25" s="5">
        <v>0.0579152057510074</v>
      </c>
      <c r="BG25" s="5">
        <v>0.031140340643001897</v>
      </c>
      <c r="BH25" s="5">
        <v>0.0345622996112203</v>
      </c>
      <c r="BI25" s="5">
        <v>0.05578320216975689</v>
      </c>
      <c r="BJ25" s="5">
        <v>0.0531187150812929</v>
      </c>
      <c r="BK25" s="5">
        <v>0.049878537067477795</v>
      </c>
      <c r="BL25" s="5">
        <v>0.0551671400223311</v>
      </c>
      <c r="BM25" s="5">
        <v>0.0269571385179235</v>
      </c>
      <c r="BN25" s="5">
        <v>0.026714248060295497</v>
      </c>
      <c r="BO25" s="5">
        <v>0.07991952490657671</v>
      </c>
      <c r="BP25" s="5">
        <v>0.049801328654922095</v>
      </c>
      <c r="BQ25" s="5">
        <v>0.0684353498941024</v>
      </c>
      <c r="BR25" s="5">
        <v>0.0623355624094208</v>
      </c>
      <c r="BS25" s="5">
        <v>0.0665220075230069</v>
      </c>
      <c r="BT25" s="5">
        <v>0.0486142661591403</v>
      </c>
      <c r="BU25" s="5">
        <v>0.0525183358534413</v>
      </c>
      <c r="BV25" s="5">
        <v>0.0492123129139564</v>
      </c>
      <c r="BW25" s="5">
        <v>0.044913189703072794</v>
      </c>
      <c r="BX25" s="5">
        <v>0.0710945009049206</v>
      </c>
      <c r="BY25" s="5">
        <v>0.0610867761617023</v>
      </c>
      <c r="BZ25" s="5">
        <v>0.0531675290605666</v>
      </c>
      <c r="CA25" s="5">
        <v>0.045113716279087904</v>
      </c>
      <c r="CB25" s="5">
        <v>0.06344564864869269</v>
      </c>
      <c r="CC25" s="5">
        <v>0.0430084071012452</v>
      </c>
      <c r="CD25" s="5">
        <v>-0.00959867329154789</v>
      </c>
      <c r="CE25" s="5">
        <v>0.043567555213388995</v>
      </c>
      <c r="CF25" s="5">
        <v>0.0346429235913467</v>
      </c>
      <c r="CG25" s="5">
        <v>0.039785494684844595</v>
      </c>
      <c r="CH25" s="5">
        <v>0.0355000037634591</v>
      </c>
      <c r="CI25" s="5">
        <v>0.0157880122754374</v>
      </c>
      <c r="CJ25" s="5">
        <v>0.010690127567096702</v>
      </c>
      <c r="CK25" s="5">
        <v>0.0250536136560163</v>
      </c>
      <c r="CL25" s="5">
        <v>0.012408529155249799</v>
      </c>
      <c r="CM25" s="5">
        <v>0.015137078700601</v>
      </c>
      <c r="CN25" s="5">
        <v>0.016228216501733</v>
      </c>
      <c r="CO25" s="5">
        <v>0.023372356023937998</v>
      </c>
      <c r="CP25" s="5">
        <v>0.0256190869406679</v>
      </c>
      <c r="CQ25" s="5">
        <v>0.0474318506127023</v>
      </c>
      <c r="CR25" s="5">
        <v>0.0434381995889572</v>
      </c>
      <c r="CS25" s="5">
        <v>0.0292395174185515</v>
      </c>
      <c r="CT25" s="5">
        <v>0.010481802223058001</v>
      </c>
      <c r="CU25" s="5">
        <v>0.0159934649977294</v>
      </c>
      <c r="CV25" s="5">
        <v>-0.006286588469088739</v>
      </c>
      <c r="CW25" s="5">
        <v>0.0235837174390399</v>
      </c>
      <c r="CX25" s="5">
        <v>0.021066514052863</v>
      </c>
      <c r="CY25" s="5">
        <v>0.0141299601530085</v>
      </c>
      <c r="CZ25" s="5">
        <v>0.0233632936675067</v>
      </c>
      <c r="DA25" s="5">
        <v>0.035886293379513996</v>
      </c>
      <c r="DB25" s="5">
        <v>0.0342135235980006</v>
      </c>
      <c r="DC25" s="5">
        <v>0.0392371245576191</v>
      </c>
      <c r="DD25" s="5">
        <v>0.0198371211462977</v>
      </c>
      <c r="DE25" s="5">
        <v>0.011355417436923301</v>
      </c>
      <c r="DF25" s="5">
        <v>0.00823122997395163</v>
      </c>
      <c r="DG25" s="5">
        <v>0.0282979658451117</v>
      </c>
      <c r="DH25" s="5">
        <v>0.0166318213006728</v>
      </c>
      <c r="DI25" s="5">
        <v>0.0244934540139417</v>
      </c>
      <c r="DJ25" s="5">
        <v>0.024247397856177598</v>
      </c>
      <c r="DK25" s="5">
        <v>0.0025493676773191997</v>
      </c>
      <c r="DL25" s="5">
        <v>-0.028733254071544798</v>
      </c>
      <c r="DM25" s="5">
        <v>0.0194945890344995</v>
      </c>
      <c r="DN25" s="5">
        <v>0.0219267971584139</v>
      </c>
      <c r="DO25" s="5">
        <v>0.0031316447000194</v>
      </c>
      <c r="DP25" s="5">
        <v>0.00576323570182615</v>
      </c>
      <c r="DQ25" s="5">
        <v>0.00956168723899057</v>
      </c>
      <c r="DR25" s="5">
        <v>0.0111291234158153</v>
      </c>
      <c r="DS25" s="5">
        <v>0.0109546258424186</v>
      </c>
      <c r="DT25" s="5">
        <v>0.022914075239164902</v>
      </c>
      <c r="DU25" s="5">
        <v>0.018000000000000002</v>
      </c>
      <c r="DV25" s="5">
        <v>0.015</v>
      </c>
      <c r="DW25" s="5">
        <v>-0.08199999999999999</v>
      </c>
      <c r="DX25" s="5">
        <v>0.05</v>
      </c>
      <c r="DY25" s="5">
        <v>0.04</v>
      </c>
      <c r="DZ25" s="5">
        <v>0.023</v>
      </c>
      <c r="EA25" s="5">
        <v>0.016</v>
      </c>
      <c r="EB25" s="5">
        <v>0.013999999999999999</v>
      </c>
      <c r="EC25" s="5">
        <v>0.013999999999999999</v>
      </c>
      <c r="ED25" s="5">
        <v>0.013999999999999999</v>
      </c>
      <c r="EE25" s="5">
        <v>0.017</v>
      </c>
      <c r="EF25" s="5">
        <v>0.017</v>
      </c>
      <c r="EG25" s="5">
        <v>0.017</v>
      </c>
      <c r="EH25" s="5">
        <v>0.017</v>
      </c>
      <c r="EI25" s="5">
        <v>0.016</v>
      </c>
      <c r="EJ25" s="5">
        <v>0.016</v>
      </c>
      <c r="EK25" s="5">
        <v>0.016</v>
      </c>
      <c r="EL25" s="5">
        <v>0.016</v>
      </c>
      <c r="EM25" s="5">
        <v>0.016</v>
      </c>
      <c r="EN25" s="5">
        <v>0.016</v>
      </c>
      <c r="EO25" s="5">
        <v>0.016</v>
      </c>
      <c r="EP25" s="5">
        <v>0.016</v>
      </c>
      <c r="EQ25" s="5">
        <v>0.016</v>
      </c>
      <c r="ER25" s="5">
        <v>0.014</v>
      </c>
      <c r="ES25" s="5">
        <v>0.014</v>
      </c>
      <c r="ET25" s="5">
        <v>0.014</v>
      </c>
      <c r="EU25" s="5">
        <v>0.014</v>
      </c>
      <c r="EV25" s="5">
        <v>0.014</v>
      </c>
      <c r="EW25" s="5">
        <v>0.014</v>
      </c>
      <c r="EX25" s="5">
        <v>0.014</v>
      </c>
      <c r="EY25" s="5">
        <v>0.014</v>
      </c>
      <c r="EZ25" s="5">
        <v>0.014</v>
      </c>
      <c r="FA25" s="5">
        <v>0.014</v>
      </c>
      <c r="FB25" s="5">
        <v>0.014</v>
      </c>
      <c r="FC25" s="5">
        <v>0.014</v>
      </c>
      <c r="FD25" s="5">
        <v>0.014</v>
      </c>
      <c r="FE25" s="5">
        <v>0.014</v>
      </c>
      <c r="FF25" s="5">
        <v>0.014</v>
      </c>
      <c r="FG25" s="5">
        <v>0.014</v>
      </c>
      <c r="FH25" s="5">
        <v>0.014</v>
      </c>
      <c r="FI25" s="5">
        <v>0.014</v>
      </c>
      <c r="FJ25" s="5">
        <v>0.014</v>
      </c>
      <c r="FK25" s="5">
        <v>0.014</v>
      </c>
      <c r="FL25" s="5">
        <v>0.014</v>
      </c>
      <c r="FM25" s="5">
        <v>0.014</v>
      </c>
      <c r="FN25" s="5">
        <v>0.014</v>
      </c>
      <c r="FO25" s="5">
        <v>0.014</v>
      </c>
      <c r="FP25" s="5">
        <v>0.014</v>
      </c>
      <c r="FQ25" s="5">
        <v>0.014</v>
      </c>
      <c r="FR25" s="5">
        <v>0.014</v>
      </c>
      <c r="FS25" s="5">
        <v>0.014</v>
      </c>
      <c r="FT25" s="5">
        <v>0.014</v>
      </c>
      <c r="FU25" s="5">
        <v>0.014</v>
      </c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</row>
    <row r="26" ht="14.25" customHeight="1">
      <c r="A26" s="4" t="s">
        <v>24</v>
      </c>
      <c r="B26" s="5">
        <v>-0.020604395604395667</v>
      </c>
      <c r="C26" s="5">
        <v>0.047685834502103966</v>
      </c>
      <c r="D26" s="5">
        <v>-0.013386880856760368</v>
      </c>
      <c r="E26" s="5">
        <v>0.04884667571234714</v>
      </c>
      <c r="F26" s="5">
        <v>0.05692108667529124</v>
      </c>
      <c r="G26" s="5">
        <v>-0.011015911872705125</v>
      </c>
      <c r="H26" s="5">
        <v>-0.016089108910890996</v>
      </c>
      <c r="I26" s="5">
        <v>-0.016352201257861666</v>
      </c>
      <c r="J26" s="5">
        <v>0.02173913043478269</v>
      </c>
      <c r="K26" s="5">
        <v>0.007509386733416717</v>
      </c>
      <c r="L26" s="5">
        <v>0.01739130434782613</v>
      </c>
      <c r="M26" s="5">
        <v>0.018315018315018368</v>
      </c>
      <c r="N26" s="5">
        <v>0.04316546762589909</v>
      </c>
      <c r="O26" s="5">
        <v>-0.005747126436781549</v>
      </c>
      <c r="P26" s="5">
        <v>0.04161849710982641</v>
      </c>
      <c r="Q26" s="5">
        <v>-0.06104328523862368</v>
      </c>
      <c r="R26" s="5">
        <v>0.0981087470449175</v>
      </c>
      <c r="S26" s="5">
        <v>0.08288482238966602</v>
      </c>
      <c r="T26" s="5">
        <v>-0.005964214711729481</v>
      </c>
      <c r="U26" s="5">
        <v>-0.07099999999999988</v>
      </c>
      <c r="V26" s="5">
        <v>-0.02045209903121656</v>
      </c>
      <c r="W26" s="5">
        <v>0.0505494505494506</v>
      </c>
      <c r="X26" s="5">
        <v>-0.15271966527196654</v>
      </c>
      <c r="Y26" s="5">
        <v>-0.21111111111111117</v>
      </c>
      <c r="Z26" s="5">
        <v>0.17840375586854462</v>
      </c>
      <c r="AA26" s="5">
        <v>0.15670650730411678</v>
      </c>
      <c r="AB26" s="5">
        <v>-0.041331802525832205</v>
      </c>
      <c r="AC26" s="5">
        <v>0.1796407185628743</v>
      </c>
      <c r="AD26" s="5">
        <v>0.051776649746192775</v>
      </c>
      <c r="AE26" s="5">
        <v>0.12548262548262554</v>
      </c>
      <c r="AF26" s="5">
        <v>0.004288164665523024</v>
      </c>
      <c r="AG26" s="5">
        <v>0.026473099914603164</v>
      </c>
      <c r="AH26" s="5">
        <v>-0.020798668885191378</v>
      </c>
      <c r="AI26" s="5">
        <v>0.06966864910790142</v>
      </c>
      <c r="AJ26" s="5">
        <v>0.06751389992057188</v>
      </c>
      <c r="AK26" s="5">
        <v>-0.029017857142857272</v>
      </c>
      <c r="AL26" s="5">
        <v>-0.0597701149425287</v>
      </c>
      <c r="AM26" s="5">
        <v>-0.06519967400162997</v>
      </c>
      <c r="AN26" s="5">
        <v>0.07149084568439423</v>
      </c>
      <c r="AO26" s="5">
        <v>-0.009764035801464697</v>
      </c>
      <c r="AP26" s="5">
        <v>-0.025472473294987752</v>
      </c>
      <c r="AQ26" s="5">
        <v>0.037942664418212334</v>
      </c>
      <c r="AR26" s="5">
        <v>0.05767668562144589</v>
      </c>
      <c r="AS26" s="5">
        <v>-0.00384024577572953</v>
      </c>
      <c r="AT26" s="5">
        <v>0.07170393215111805</v>
      </c>
      <c r="AU26" s="5">
        <v>-0.17482014388489203</v>
      </c>
      <c r="AV26" s="5">
        <v>-0.20924149956408022</v>
      </c>
      <c r="AW26" s="5">
        <v>-0.10363836824696813</v>
      </c>
      <c r="AX26" s="5">
        <v>-0.05043050430504292</v>
      </c>
      <c r="AY26" s="5">
        <v>-0.15544041450777196</v>
      </c>
      <c r="AZ26" s="5">
        <v>0.08435582822085894</v>
      </c>
      <c r="BA26" s="5">
        <v>0.5205091937765202</v>
      </c>
      <c r="BB26" s="5">
        <v>0.08372093023255821</v>
      </c>
      <c r="BC26" s="5">
        <v>0.07296137339055796</v>
      </c>
      <c r="BD26" s="5">
        <v>0.13600000000000004</v>
      </c>
      <c r="BE26" s="5">
        <v>0.0856561745816649</v>
      </c>
      <c r="BF26" s="5">
        <v>0.0579152057510074</v>
      </c>
      <c r="BG26" s="5">
        <v>0.031140340643001897</v>
      </c>
      <c r="BH26" s="5">
        <v>0.0345622996112203</v>
      </c>
      <c r="BI26" s="5">
        <v>0.05578320216975689</v>
      </c>
      <c r="BJ26" s="5">
        <v>0.0531187150812929</v>
      </c>
      <c r="BK26" s="5">
        <v>0.049878537067477795</v>
      </c>
      <c r="BL26" s="5">
        <v>0.0551671400223311</v>
      </c>
      <c r="BM26" s="5">
        <v>0.0269571385179235</v>
      </c>
      <c r="BN26" s="5">
        <v>0.026714248060295497</v>
      </c>
      <c r="BO26" s="5">
        <v>0.07991952490657671</v>
      </c>
      <c r="BP26" s="5">
        <v>0.049801328654922095</v>
      </c>
      <c r="BQ26" s="5">
        <v>0.0684353498941024</v>
      </c>
      <c r="BR26" s="5">
        <v>0.0623355624094208</v>
      </c>
      <c r="BS26" s="5">
        <v>0.0665220075230069</v>
      </c>
      <c r="BT26" s="5">
        <v>0.0486142661591403</v>
      </c>
      <c r="BU26" s="5">
        <v>0.0525183358534413</v>
      </c>
      <c r="BV26" s="5">
        <v>0.0492123129139564</v>
      </c>
      <c r="BW26" s="5">
        <v>0.044913189703072794</v>
      </c>
      <c r="BX26" s="5">
        <v>0.0710945009049206</v>
      </c>
      <c r="BY26" s="5">
        <v>0.0610867761617023</v>
      </c>
      <c r="BZ26" s="5">
        <v>0.0531675290605666</v>
      </c>
      <c r="CA26" s="5">
        <v>0.045113716279087904</v>
      </c>
      <c r="CB26" s="5">
        <v>0.06344564864869269</v>
      </c>
      <c r="CC26" s="5">
        <v>0.0430084071012452</v>
      </c>
      <c r="CD26" s="5">
        <v>-0.00959867329154789</v>
      </c>
      <c r="CE26" s="5">
        <v>0.043567555213388995</v>
      </c>
      <c r="CF26" s="5">
        <v>0.0346429235913467</v>
      </c>
      <c r="CG26" s="5">
        <v>0.039785494684844595</v>
      </c>
      <c r="CH26" s="5">
        <v>0.0355000037634591</v>
      </c>
      <c r="CI26" s="5">
        <v>0.0157880122754374</v>
      </c>
      <c r="CJ26" s="5">
        <v>0.010690127567096702</v>
      </c>
      <c r="CK26" s="5">
        <v>0.0250536136560163</v>
      </c>
      <c r="CL26" s="5">
        <v>0.012408529155249799</v>
      </c>
      <c r="CM26" s="5">
        <v>0.015137078700601</v>
      </c>
      <c r="CN26" s="5">
        <v>0.016228216501733</v>
      </c>
      <c r="CO26" s="5">
        <v>0.023372356023937998</v>
      </c>
      <c r="CP26" s="5">
        <v>0.0256190869406679</v>
      </c>
      <c r="CQ26" s="5">
        <v>0.0474318506127023</v>
      </c>
      <c r="CR26" s="5">
        <v>0.0434381995889572</v>
      </c>
      <c r="CS26" s="5">
        <v>0.0292395174185515</v>
      </c>
      <c r="CT26" s="5">
        <v>0.010481802223058001</v>
      </c>
      <c r="CU26" s="5">
        <v>0.0159934649977294</v>
      </c>
      <c r="CV26" s="5">
        <v>-0.006286588469088739</v>
      </c>
      <c r="CW26" s="5">
        <v>0.0235837174390399</v>
      </c>
      <c r="CX26" s="5">
        <v>0.021066514052863</v>
      </c>
      <c r="CY26" s="5">
        <v>0.0141299601530085</v>
      </c>
      <c r="CZ26" s="5">
        <v>0.0233632936675067</v>
      </c>
      <c r="DA26" s="5">
        <v>0.035886293379513996</v>
      </c>
      <c r="DB26" s="5">
        <v>0.0342135235980006</v>
      </c>
      <c r="DC26" s="5">
        <v>0.0392371245576191</v>
      </c>
      <c r="DD26" s="5">
        <v>0.0198371211462977</v>
      </c>
      <c r="DE26" s="5">
        <v>0.011355417436923301</v>
      </c>
      <c r="DF26" s="5">
        <v>0.00823122997395163</v>
      </c>
      <c r="DG26" s="5">
        <v>0.0282979658451117</v>
      </c>
      <c r="DH26" s="5">
        <v>0.0166318213006728</v>
      </c>
      <c r="DI26" s="5">
        <v>0.0244934540139417</v>
      </c>
      <c r="DJ26" s="5">
        <v>0.024247397856177598</v>
      </c>
      <c r="DK26" s="5">
        <v>0.0025493676773191997</v>
      </c>
      <c r="DL26" s="5">
        <v>-0.028733254071544798</v>
      </c>
      <c r="DM26" s="5">
        <v>0.0194945890344995</v>
      </c>
      <c r="DN26" s="5">
        <v>0.0219267971584139</v>
      </c>
      <c r="DO26" s="5">
        <v>0.0031316447000194</v>
      </c>
      <c r="DP26" s="5">
        <v>0.00576323570182615</v>
      </c>
      <c r="DQ26" s="5">
        <v>0.00956168723899057</v>
      </c>
      <c r="DR26" s="5">
        <v>0.0111291234158153</v>
      </c>
      <c r="DS26" s="5">
        <v>0.0109546258424186</v>
      </c>
      <c r="DT26" s="5">
        <v>0.022914075239164902</v>
      </c>
      <c r="DU26" s="5">
        <v>0.018000000000000002</v>
      </c>
      <c r="DV26" s="5">
        <v>0.015</v>
      </c>
      <c r="DW26" s="5">
        <v>-0.08199999999999999</v>
      </c>
      <c r="DX26" s="5">
        <v>0.05</v>
      </c>
      <c r="DY26" s="5">
        <v>0.04</v>
      </c>
      <c r="DZ26" s="5">
        <v>0.023</v>
      </c>
      <c r="EA26" s="5">
        <v>0.016</v>
      </c>
      <c r="EB26" s="5">
        <v>0.013999999999999999</v>
      </c>
      <c r="EC26" s="5">
        <v>0.013999999999999999</v>
      </c>
      <c r="ED26" s="5">
        <v>0.013999999999999999</v>
      </c>
      <c r="EE26" s="5">
        <v>0.016</v>
      </c>
      <c r="EF26" s="5">
        <v>0.016</v>
      </c>
      <c r="EG26" s="5">
        <v>0.016</v>
      </c>
      <c r="EH26" s="5">
        <v>0.016</v>
      </c>
      <c r="EI26" s="5">
        <v>0.014</v>
      </c>
      <c r="EJ26" s="5">
        <v>0.014</v>
      </c>
      <c r="EK26" s="5">
        <v>0.014</v>
      </c>
      <c r="EL26" s="5">
        <v>0.014</v>
      </c>
      <c r="EM26" s="5">
        <v>0.014</v>
      </c>
      <c r="EN26" s="5">
        <v>0.014</v>
      </c>
      <c r="EO26" s="5">
        <v>0.014</v>
      </c>
      <c r="EP26" s="5">
        <v>0.014</v>
      </c>
      <c r="EQ26" s="5">
        <v>0.014</v>
      </c>
      <c r="ER26" s="5">
        <v>0.012</v>
      </c>
      <c r="ES26" s="5">
        <v>0.012</v>
      </c>
      <c r="ET26" s="5">
        <v>0.012</v>
      </c>
      <c r="EU26" s="5">
        <v>0.012</v>
      </c>
      <c r="EV26" s="5">
        <v>0.012</v>
      </c>
      <c r="EW26" s="5">
        <v>0.012</v>
      </c>
      <c r="EX26" s="5">
        <v>0.012</v>
      </c>
      <c r="EY26" s="5">
        <v>0.012</v>
      </c>
      <c r="EZ26" s="5">
        <v>0.012</v>
      </c>
      <c r="FA26" s="5">
        <v>0.012</v>
      </c>
      <c r="FB26" s="5">
        <v>0.012</v>
      </c>
      <c r="FC26" s="5">
        <v>0.012</v>
      </c>
      <c r="FD26" s="5">
        <v>0.012</v>
      </c>
      <c r="FE26" s="5">
        <v>0.012</v>
      </c>
      <c r="FF26" s="5">
        <v>0.012</v>
      </c>
      <c r="FG26" s="5">
        <v>0.012</v>
      </c>
      <c r="FH26" s="5">
        <v>0.012</v>
      </c>
      <c r="FI26" s="5">
        <v>0.012</v>
      </c>
      <c r="FJ26" s="5">
        <v>0.012</v>
      </c>
      <c r="FK26" s="5">
        <v>0.012</v>
      </c>
      <c r="FL26" s="5">
        <v>0.012</v>
      </c>
      <c r="FM26" s="5">
        <v>0.012</v>
      </c>
      <c r="FN26" s="5">
        <v>0.012</v>
      </c>
      <c r="FO26" s="5">
        <v>0.012</v>
      </c>
      <c r="FP26" s="5">
        <v>0.012</v>
      </c>
      <c r="FQ26" s="5">
        <v>0.012</v>
      </c>
      <c r="FR26" s="5">
        <v>0.012</v>
      </c>
      <c r="FS26" s="5">
        <v>0.012</v>
      </c>
      <c r="FT26" s="5">
        <v>0.012</v>
      </c>
      <c r="FU26" s="5">
        <v>0.012</v>
      </c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</row>
    <row r="27" ht="14.25" customHeight="1">
      <c r="A27" s="4" t="s">
        <v>25</v>
      </c>
      <c r="B27" s="5">
        <v>-0.020604395604395667</v>
      </c>
      <c r="C27" s="5">
        <v>0.047685834502103966</v>
      </c>
      <c r="D27" s="5">
        <v>-0.013386880856760368</v>
      </c>
      <c r="E27" s="5">
        <v>0.04884667571234714</v>
      </c>
      <c r="F27" s="5">
        <v>0.05692108667529124</v>
      </c>
      <c r="G27" s="5">
        <v>-0.011015911872705125</v>
      </c>
      <c r="H27" s="5">
        <v>-0.016089108910890996</v>
      </c>
      <c r="I27" s="5">
        <v>-0.016352201257861666</v>
      </c>
      <c r="J27" s="5">
        <v>0.02173913043478269</v>
      </c>
      <c r="K27" s="5">
        <v>0.007509386733416717</v>
      </c>
      <c r="L27" s="5">
        <v>0.01739130434782613</v>
      </c>
      <c r="M27" s="5">
        <v>0.018315018315018368</v>
      </c>
      <c r="N27" s="5">
        <v>0.04316546762589909</v>
      </c>
      <c r="O27" s="5">
        <v>-0.005747126436781549</v>
      </c>
      <c r="P27" s="5">
        <v>0.04161849710982641</v>
      </c>
      <c r="Q27" s="5">
        <v>-0.06104328523862368</v>
      </c>
      <c r="R27" s="5">
        <v>0.0981087470449175</v>
      </c>
      <c r="S27" s="5">
        <v>0.08288482238966602</v>
      </c>
      <c r="T27" s="5">
        <v>-0.005964214711729481</v>
      </c>
      <c r="U27" s="5">
        <v>-0.07099999999999988</v>
      </c>
      <c r="V27" s="5">
        <v>-0.02045209903121656</v>
      </c>
      <c r="W27" s="5">
        <v>0.0505494505494506</v>
      </c>
      <c r="X27" s="5">
        <v>-0.15271966527196654</v>
      </c>
      <c r="Y27" s="5">
        <v>-0.21111111111111117</v>
      </c>
      <c r="Z27" s="5">
        <v>0.17840375586854462</v>
      </c>
      <c r="AA27" s="5">
        <v>0.15670650730411678</v>
      </c>
      <c r="AB27" s="5">
        <v>-0.041331802525832205</v>
      </c>
      <c r="AC27" s="5">
        <v>0.1796407185628743</v>
      </c>
      <c r="AD27" s="5">
        <v>0.051776649746192775</v>
      </c>
      <c r="AE27" s="5">
        <v>0.12548262548262554</v>
      </c>
      <c r="AF27" s="5">
        <v>0.004288164665523024</v>
      </c>
      <c r="AG27" s="5">
        <v>0.026473099914603164</v>
      </c>
      <c r="AH27" s="5">
        <v>-0.020798668885191378</v>
      </c>
      <c r="AI27" s="5">
        <v>0.06966864910790142</v>
      </c>
      <c r="AJ27" s="5">
        <v>0.06751389992057188</v>
      </c>
      <c r="AK27" s="5">
        <v>-0.029017857142857272</v>
      </c>
      <c r="AL27" s="5">
        <v>-0.0597701149425287</v>
      </c>
      <c r="AM27" s="5">
        <v>-0.06519967400162997</v>
      </c>
      <c r="AN27" s="5">
        <v>0.07149084568439423</v>
      </c>
      <c r="AO27" s="5">
        <v>-0.009764035801464697</v>
      </c>
      <c r="AP27" s="5">
        <v>-0.025472473294987752</v>
      </c>
      <c r="AQ27" s="5">
        <v>0.037942664418212334</v>
      </c>
      <c r="AR27" s="5">
        <v>0.05767668562144589</v>
      </c>
      <c r="AS27" s="5">
        <v>-0.00384024577572953</v>
      </c>
      <c r="AT27" s="5">
        <v>0.07170393215111805</v>
      </c>
      <c r="AU27" s="5">
        <v>-0.17482014388489203</v>
      </c>
      <c r="AV27" s="5">
        <v>-0.20924149956408022</v>
      </c>
      <c r="AW27" s="5">
        <v>-0.10363836824696813</v>
      </c>
      <c r="AX27" s="5">
        <v>-0.05043050430504292</v>
      </c>
      <c r="AY27" s="5">
        <v>-0.15544041450777196</v>
      </c>
      <c r="AZ27" s="5">
        <v>0.08435582822085894</v>
      </c>
      <c r="BA27" s="5">
        <v>0.5205091937765202</v>
      </c>
      <c r="BB27" s="5">
        <v>0.08372093023255821</v>
      </c>
      <c r="BC27" s="5">
        <v>0.07296137339055796</v>
      </c>
      <c r="BD27" s="5">
        <v>0.13600000000000004</v>
      </c>
      <c r="BE27" s="5">
        <v>0.0856561745816649</v>
      </c>
      <c r="BF27" s="5">
        <v>0.0579152057510074</v>
      </c>
      <c r="BG27" s="5">
        <v>0.031140340643001897</v>
      </c>
      <c r="BH27" s="5">
        <v>0.0345622996112203</v>
      </c>
      <c r="BI27" s="5">
        <v>0.05578320216975689</v>
      </c>
      <c r="BJ27" s="5">
        <v>0.0531187150812929</v>
      </c>
      <c r="BK27" s="5">
        <v>0.049878537067477795</v>
      </c>
      <c r="BL27" s="5">
        <v>0.0551671400223311</v>
      </c>
      <c r="BM27" s="5">
        <v>0.0269571385179235</v>
      </c>
      <c r="BN27" s="5">
        <v>0.026714248060295497</v>
      </c>
      <c r="BO27" s="5">
        <v>0.07991952490657671</v>
      </c>
      <c r="BP27" s="5">
        <v>0.049801328654922095</v>
      </c>
      <c r="BQ27" s="5">
        <v>0.0684353498941024</v>
      </c>
      <c r="BR27" s="5">
        <v>0.0623355624094208</v>
      </c>
      <c r="BS27" s="5">
        <v>0.0665220075230069</v>
      </c>
      <c r="BT27" s="5">
        <v>0.0486142661591403</v>
      </c>
      <c r="BU27" s="5">
        <v>0.0525183358534413</v>
      </c>
      <c r="BV27" s="5">
        <v>0.0492123129139564</v>
      </c>
      <c r="BW27" s="5">
        <v>0.044913189703072794</v>
      </c>
      <c r="BX27" s="5">
        <v>0.0710945009049206</v>
      </c>
      <c r="BY27" s="5">
        <v>0.0610867761617023</v>
      </c>
      <c r="BZ27" s="5">
        <v>0.0531675290605666</v>
      </c>
      <c r="CA27" s="5">
        <v>0.045113716279087904</v>
      </c>
      <c r="CB27" s="5">
        <v>0.06344564864869269</v>
      </c>
      <c r="CC27" s="5">
        <v>0.0430084071012452</v>
      </c>
      <c r="CD27" s="5">
        <v>-0.00959867329154789</v>
      </c>
      <c r="CE27" s="5">
        <v>0.043567555213388995</v>
      </c>
      <c r="CF27" s="5">
        <v>0.0346429235913467</v>
      </c>
      <c r="CG27" s="5">
        <v>0.039785494684844595</v>
      </c>
      <c r="CH27" s="5">
        <v>0.0355000037634591</v>
      </c>
      <c r="CI27" s="5">
        <v>0.0157880122754374</v>
      </c>
      <c r="CJ27" s="5">
        <v>0.010690127567096702</v>
      </c>
      <c r="CK27" s="5">
        <v>0.0250536136560163</v>
      </c>
      <c r="CL27" s="5">
        <v>0.012408529155249799</v>
      </c>
      <c r="CM27" s="5">
        <v>0.015137078700601</v>
      </c>
      <c r="CN27" s="5">
        <v>0.016228216501733</v>
      </c>
      <c r="CO27" s="5">
        <v>0.023372356023937998</v>
      </c>
      <c r="CP27" s="5">
        <v>0.0256190869406679</v>
      </c>
      <c r="CQ27" s="5">
        <v>0.0474318506127023</v>
      </c>
      <c r="CR27" s="5">
        <v>0.0434381995889572</v>
      </c>
      <c r="CS27" s="5">
        <v>0.0292395174185515</v>
      </c>
      <c r="CT27" s="5">
        <v>0.010481802223058001</v>
      </c>
      <c r="CU27" s="5">
        <v>0.0159934649977294</v>
      </c>
      <c r="CV27" s="5">
        <v>-0.006286588469088739</v>
      </c>
      <c r="CW27" s="5">
        <v>0.0235837174390399</v>
      </c>
      <c r="CX27" s="5">
        <v>0.021066514052863</v>
      </c>
      <c r="CY27" s="5">
        <v>0.0141299601530085</v>
      </c>
      <c r="CZ27" s="5">
        <v>0.0233632936675067</v>
      </c>
      <c r="DA27" s="5">
        <v>0.035886293379513996</v>
      </c>
      <c r="DB27" s="5">
        <v>0.0342135235980006</v>
      </c>
      <c r="DC27" s="5">
        <v>0.0392371245576191</v>
      </c>
      <c r="DD27" s="5">
        <v>0.0198371211462977</v>
      </c>
      <c r="DE27" s="5">
        <v>0.011355417436923301</v>
      </c>
      <c r="DF27" s="5">
        <v>0.00823122997395163</v>
      </c>
      <c r="DG27" s="5">
        <v>0.0282979658451117</v>
      </c>
      <c r="DH27" s="5">
        <v>0.0166318213006728</v>
      </c>
      <c r="DI27" s="5">
        <v>0.0244934540139417</v>
      </c>
      <c r="DJ27" s="5">
        <v>0.024247397856177598</v>
      </c>
      <c r="DK27" s="5">
        <v>0.0025493676773191997</v>
      </c>
      <c r="DL27" s="5">
        <v>-0.028733254071544798</v>
      </c>
      <c r="DM27" s="5">
        <v>0.0194945890344995</v>
      </c>
      <c r="DN27" s="5">
        <v>0.0219267971584139</v>
      </c>
      <c r="DO27" s="5">
        <v>0.0031316447000194</v>
      </c>
      <c r="DP27" s="5">
        <v>0.00576323570182615</v>
      </c>
      <c r="DQ27" s="5">
        <v>0.00956168723899057</v>
      </c>
      <c r="DR27" s="5">
        <v>0.0111291234158153</v>
      </c>
      <c r="DS27" s="5">
        <v>0.0109546258424186</v>
      </c>
      <c r="DT27" s="5">
        <v>0.022914075239164902</v>
      </c>
      <c r="DU27" s="5">
        <v>0.018000000000000002</v>
      </c>
      <c r="DV27" s="5">
        <v>0.015</v>
      </c>
      <c r="DW27" s="5">
        <v>-0.08199999999999999</v>
      </c>
      <c r="DX27" s="5">
        <v>0.05</v>
      </c>
      <c r="DY27" s="5">
        <v>0.04</v>
      </c>
      <c r="DZ27" s="5">
        <v>0.023</v>
      </c>
      <c r="EA27" s="5">
        <v>0.016</v>
      </c>
      <c r="EB27" s="5">
        <v>0.013999999999999999</v>
      </c>
      <c r="EC27" s="5">
        <v>0.013999999999999999</v>
      </c>
      <c r="ED27" s="5">
        <v>0.013999999999999999</v>
      </c>
      <c r="EE27" s="5">
        <v>0.016</v>
      </c>
      <c r="EF27" s="5">
        <v>0.016</v>
      </c>
      <c r="EG27" s="5">
        <v>0.016</v>
      </c>
      <c r="EH27" s="5">
        <v>0.016</v>
      </c>
      <c r="EI27" s="5">
        <v>0.011</v>
      </c>
      <c r="EJ27" s="5">
        <v>0.011</v>
      </c>
      <c r="EK27" s="5">
        <v>0.011</v>
      </c>
      <c r="EL27" s="5">
        <v>0.011</v>
      </c>
      <c r="EM27" s="5">
        <v>0.011</v>
      </c>
      <c r="EN27" s="5">
        <v>0.011</v>
      </c>
      <c r="EO27" s="5">
        <v>0.011</v>
      </c>
      <c r="EP27" s="5">
        <v>0.011</v>
      </c>
      <c r="EQ27" s="5">
        <v>0.011</v>
      </c>
      <c r="ER27" s="5">
        <v>0.009</v>
      </c>
      <c r="ES27" s="5">
        <v>0.009</v>
      </c>
      <c r="ET27" s="5">
        <v>0.009</v>
      </c>
      <c r="EU27" s="5">
        <v>0.009</v>
      </c>
      <c r="EV27" s="5">
        <v>0.009</v>
      </c>
      <c r="EW27" s="5">
        <v>0.009</v>
      </c>
      <c r="EX27" s="5">
        <v>0.009</v>
      </c>
      <c r="EY27" s="5">
        <v>0.009</v>
      </c>
      <c r="EZ27" s="5">
        <v>0.009</v>
      </c>
      <c r="FA27" s="5">
        <v>0.009</v>
      </c>
      <c r="FB27" s="5">
        <v>0.009</v>
      </c>
      <c r="FC27" s="5">
        <v>0.009</v>
      </c>
      <c r="FD27" s="5">
        <v>0.009</v>
      </c>
      <c r="FE27" s="5">
        <v>0.009</v>
      </c>
      <c r="FF27" s="5">
        <v>0.009</v>
      </c>
      <c r="FG27" s="5">
        <v>0.009</v>
      </c>
      <c r="FH27" s="5">
        <v>0.009</v>
      </c>
      <c r="FI27" s="5">
        <v>0.009</v>
      </c>
      <c r="FJ27" s="5">
        <v>0.009</v>
      </c>
      <c r="FK27" s="5">
        <v>0.009</v>
      </c>
      <c r="FL27" s="5">
        <v>0.009</v>
      </c>
      <c r="FM27" s="5">
        <v>0.009</v>
      </c>
      <c r="FN27" s="5">
        <v>0.009</v>
      </c>
      <c r="FO27" s="5">
        <v>0.009</v>
      </c>
      <c r="FP27" s="5">
        <v>0.009</v>
      </c>
      <c r="FQ27" s="5">
        <v>0.009</v>
      </c>
      <c r="FR27" s="5">
        <v>0.009</v>
      </c>
      <c r="FS27" s="5">
        <v>0.009</v>
      </c>
      <c r="FT27" s="5">
        <v>0.009</v>
      </c>
      <c r="FU27" s="5">
        <v>0.009</v>
      </c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</row>
    <row r="28" ht="14.25" customHeight="1"/>
    <row r="29" ht="14.25" customHeight="1"/>
    <row r="30" ht="14.25" customHeight="1"/>
    <row r="31" ht="14.25" customHeight="1">
      <c r="A31" s="14" t="s">
        <v>0</v>
      </c>
      <c r="B31" s="15">
        <v>1895.0</v>
      </c>
      <c r="C31" s="15">
        <v>1896.0</v>
      </c>
      <c r="D31" s="15">
        <v>1897.0</v>
      </c>
      <c r="E31" s="15">
        <v>1898.0</v>
      </c>
      <c r="F31" s="15">
        <v>1899.0</v>
      </c>
      <c r="G31" s="15">
        <v>1900.0</v>
      </c>
      <c r="H31" s="15">
        <v>1901.0</v>
      </c>
      <c r="I31" s="15">
        <v>1902.0</v>
      </c>
      <c r="J31" s="15">
        <v>1903.0</v>
      </c>
      <c r="K31" s="15">
        <v>1904.0</v>
      </c>
      <c r="L31" s="15">
        <v>1905.0</v>
      </c>
      <c r="M31" s="15">
        <v>1906.0</v>
      </c>
      <c r="N31" s="15">
        <v>1907.0</v>
      </c>
      <c r="O31" s="15">
        <v>1908.0</v>
      </c>
      <c r="P31" s="15">
        <v>1909.0</v>
      </c>
      <c r="Q31" s="15">
        <v>1910.0</v>
      </c>
      <c r="R31" s="15">
        <v>1911.0</v>
      </c>
      <c r="S31" s="15">
        <v>1912.0</v>
      </c>
      <c r="T31" s="15">
        <v>1913.0</v>
      </c>
      <c r="U31" s="15">
        <v>1914.0</v>
      </c>
      <c r="V31" s="15">
        <v>1915.0</v>
      </c>
      <c r="W31" s="15">
        <v>1916.0</v>
      </c>
      <c r="X31" s="15">
        <v>1917.0</v>
      </c>
      <c r="Y31" s="15">
        <v>1918.0</v>
      </c>
      <c r="Z31" s="15">
        <v>1919.0</v>
      </c>
      <c r="AA31" s="15">
        <v>1920.0</v>
      </c>
      <c r="AB31" s="15">
        <v>1921.0</v>
      </c>
      <c r="AC31" s="15">
        <v>1922.0</v>
      </c>
      <c r="AD31" s="15">
        <v>1923.0</v>
      </c>
      <c r="AE31" s="15">
        <v>1924.0</v>
      </c>
      <c r="AF31" s="15">
        <v>1925.0</v>
      </c>
      <c r="AG31" s="15">
        <v>1926.0</v>
      </c>
      <c r="AH31" s="15">
        <v>1927.0</v>
      </c>
      <c r="AI31" s="15">
        <v>1928.0</v>
      </c>
      <c r="AJ31" s="15">
        <v>1929.0</v>
      </c>
      <c r="AK31" s="15">
        <v>1930.0</v>
      </c>
      <c r="AL31" s="15">
        <v>1931.0</v>
      </c>
      <c r="AM31" s="15">
        <v>1932.0</v>
      </c>
      <c r="AN31" s="15">
        <v>1933.0</v>
      </c>
      <c r="AO31" s="15">
        <v>1934.0</v>
      </c>
      <c r="AP31" s="15">
        <v>1935.0</v>
      </c>
      <c r="AQ31" s="15">
        <v>1936.0</v>
      </c>
      <c r="AR31" s="15">
        <v>1937.0</v>
      </c>
      <c r="AS31" s="15">
        <v>1938.0</v>
      </c>
      <c r="AT31" s="15">
        <v>1939.0</v>
      </c>
      <c r="AU31" s="15">
        <v>1940.0</v>
      </c>
      <c r="AV31" s="15">
        <v>1941.0</v>
      </c>
      <c r="AW31" s="15">
        <v>1942.0</v>
      </c>
      <c r="AX31" s="15">
        <v>1943.0</v>
      </c>
      <c r="AY31" s="15">
        <v>1944.0</v>
      </c>
      <c r="AZ31" s="15">
        <v>1945.0</v>
      </c>
      <c r="BA31" s="15">
        <v>1946.0</v>
      </c>
      <c r="BB31" s="15">
        <v>1947.0</v>
      </c>
      <c r="BC31" s="15">
        <v>1948.0</v>
      </c>
      <c r="BD31" s="15">
        <v>1949.0</v>
      </c>
      <c r="BE31" s="15">
        <v>1950.0</v>
      </c>
      <c r="BF31" s="15">
        <v>1951.0</v>
      </c>
      <c r="BG31" s="15">
        <v>1952.0</v>
      </c>
      <c r="BH31" s="15">
        <v>1953.0</v>
      </c>
      <c r="BI31" s="15">
        <v>1954.0</v>
      </c>
      <c r="BJ31" s="15">
        <v>1955.0</v>
      </c>
      <c r="BK31" s="15">
        <v>1956.0</v>
      </c>
      <c r="BL31" s="15">
        <v>1957.0</v>
      </c>
      <c r="BM31" s="15">
        <v>1958.0</v>
      </c>
      <c r="BN31" s="15">
        <v>1959.0</v>
      </c>
      <c r="BO31" s="15">
        <v>1960.0</v>
      </c>
      <c r="BP31" s="15">
        <v>1961.0</v>
      </c>
      <c r="BQ31" s="15">
        <v>1962.0</v>
      </c>
      <c r="BR31" s="15">
        <v>1963.0</v>
      </c>
      <c r="BS31" s="15">
        <v>1964.0</v>
      </c>
      <c r="BT31" s="15">
        <v>1965.0</v>
      </c>
      <c r="BU31" s="15">
        <v>1966.0</v>
      </c>
      <c r="BV31" s="15">
        <v>1967.0</v>
      </c>
      <c r="BW31" s="15">
        <v>1968.0</v>
      </c>
      <c r="BX31" s="15">
        <v>1969.0</v>
      </c>
      <c r="BY31" s="15">
        <v>1970.0</v>
      </c>
      <c r="BZ31" s="15">
        <v>1971.0</v>
      </c>
      <c r="CA31" s="15">
        <v>1972.0</v>
      </c>
      <c r="CB31" s="15">
        <v>1973.0</v>
      </c>
      <c r="CC31" s="15">
        <v>1974.0</v>
      </c>
      <c r="CD31" s="15">
        <v>1975.0</v>
      </c>
      <c r="CE31" s="15">
        <v>1976.0</v>
      </c>
      <c r="CF31" s="15">
        <v>1977.0</v>
      </c>
      <c r="CG31" s="15">
        <v>1978.0</v>
      </c>
      <c r="CH31" s="15">
        <v>1979.0</v>
      </c>
      <c r="CI31" s="15">
        <v>1980.0</v>
      </c>
      <c r="CJ31" s="15">
        <v>1981.0</v>
      </c>
      <c r="CK31" s="15">
        <v>1982.0</v>
      </c>
      <c r="CL31" s="15">
        <v>1983.0</v>
      </c>
      <c r="CM31" s="15">
        <v>1984.0</v>
      </c>
      <c r="CN31" s="15">
        <v>1985.0</v>
      </c>
      <c r="CO31" s="15">
        <v>1986.0</v>
      </c>
      <c r="CP31" s="15">
        <v>1987.0</v>
      </c>
      <c r="CQ31" s="15">
        <v>1988.0</v>
      </c>
      <c r="CR31" s="15">
        <v>1989.0</v>
      </c>
      <c r="CS31" s="15">
        <v>1990.0</v>
      </c>
      <c r="CT31" s="15">
        <v>1991.0</v>
      </c>
      <c r="CU31" s="15">
        <v>1992.0</v>
      </c>
      <c r="CV31" s="15">
        <v>1993.0</v>
      </c>
      <c r="CW31" s="15">
        <v>1994.0</v>
      </c>
      <c r="CX31" s="15">
        <v>1995.0</v>
      </c>
      <c r="CY31" s="15">
        <v>1996.0</v>
      </c>
      <c r="CZ31" s="15">
        <v>1997.0</v>
      </c>
      <c r="DA31" s="15">
        <v>1998.0</v>
      </c>
      <c r="DB31" s="15">
        <v>1999.0</v>
      </c>
      <c r="DC31" s="15">
        <v>2000.0</v>
      </c>
      <c r="DD31" s="15">
        <v>2001.0</v>
      </c>
      <c r="DE31" s="15">
        <v>2002.0</v>
      </c>
      <c r="DF31" s="15">
        <v>2003.0</v>
      </c>
      <c r="DG31" s="15">
        <v>2004.0</v>
      </c>
      <c r="DH31" s="15">
        <v>2005.0</v>
      </c>
      <c r="DI31" s="15">
        <v>2006.0</v>
      </c>
      <c r="DJ31" s="15">
        <v>2007.0</v>
      </c>
      <c r="DK31" s="15">
        <v>2008.0</v>
      </c>
      <c r="DL31" s="15">
        <v>2009.0</v>
      </c>
      <c r="DM31" s="15">
        <v>2010.0</v>
      </c>
      <c r="DN31" s="15">
        <v>2011.0</v>
      </c>
      <c r="DO31" s="15">
        <v>2012.0</v>
      </c>
      <c r="DP31" s="15">
        <v>2013.0</v>
      </c>
      <c r="DQ31" s="15">
        <v>2014.0</v>
      </c>
      <c r="DR31" s="15">
        <v>2015.0</v>
      </c>
      <c r="DS31" s="15">
        <v>2016.0</v>
      </c>
      <c r="DT31" s="15">
        <v>2017.0</v>
      </c>
      <c r="DU31" s="15">
        <v>2018.0</v>
      </c>
      <c r="DV31" s="15">
        <v>2019.0</v>
      </c>
      <c r="DW31" s="15">
        <v>2020.0</v>
      </c>
      <c r="DX31" s="14">
        <v>2021.0</v>
      </c>
      <c r="DY31" s="15">
        <v>2022.0</v>
      </c>
      <c r="DZ31" s="14">
        <v>2023.0</v>
      </c>
      <c r="EA31" s="15">
        <v>2024.0</v>
      </c>
      <c r="EB31" s="14">
        <v>2025.0</v>
      </c>
      <c r="EC31" s="15">
        <v>2026.0</v>
      </c>
      <c r="ED31" s="14">
        <v>2027.0</v>
      </c>
      <c r="EE31" s="15">
        <v>2028.0</v>
      </c>
      <c r="EF31" s="14">
        <v>2029.0</v>
      </c>
      <c r="EG31" s="15">
        <v>2030.0</v>
      </c>
      <c r="EH31" s="14">
        <v>2031.0</v>
      </c>
      <c r="EI31" s="15">
        <v>2032.0</v>
      </c>
      <c r="EJ31" s="14">
        <v>2033.0</v>
      </c>
      <c r="EK31" s="15">
        <v>2034.0</v>
      </c>
      <c r="EL31" s="14">
        <v>2035.0</v>
      </c>
      <c r="EM31" s="15">
        <v>2036.0</v>
      </c>
      <c r="EN31" s="14">
        <v>2037.0</v>
      </c>
      <c r="EO31" s="15">
        <v>2038.0</v>
      </c>
      <c r="EP31" s="14">
        <v>2039.0</v>
      </c>
      <c r="EQ31" s="15">
        <v>2040.0</v>
      </c>
      <c r="ER31" s="14">
        <v>2041.0</v>
      </c>
      <c r="ES31" s="15">
        <v>2042.0</v>
      </c>
      <c r="ET31" s="14">
        <v>2043.0</v>
      </c>
      <c r="EU31" s="15">
        <v>2044.0</v>
      </c>
      <c r="EV31" s="14">
        <v>2045.0</v>
      </c>
      <c r="EW31" s="15">
        <v>2046.0</v>
      </c>
      <c r="EX31" s="14">
        <v>2047.0</v>
      </c>
      <c r="EY31" s="15">
        <v>2048.0</v>
      </c>
      <c r="EZ31" s="14">
        <v>2049.0</v>
      </c>
      <c r="FA31" s="15">
        <v>2050.0</v>
      </c>
      <c r="FB31" s="14">
        <v>2051.0</v>
      </c>
      <c r="FC31" s="15">
        <v>2052.0</v>
      </c>
      <c r="FD31" s="14">
        <v>2053.0</v>
      </c>
      <c r="FE31" s="15">
        <v>2054.0</v>
      </c>
      <c r="FF31" s="14">
        <v>2055.0</v>
      </c>
      <c r="FG31" s="15">
        <v>2056.0</v>
      </c>
      <c r="FH31" s="14">
        <v>2057.0</v>
      </c>
      <c r="FI31" s="15">
        <v>2058.0</v>
      </c>
      <c r="FJ31" s="14">
        <v>2059.0</v>
      </c>
      <c r="FK31" s="15">
        <v>2060.0</v>
      </c>
      <c r="FL31" s="14">
        <v>2061.0</v>
      </c>
      <c r="FM31" s="15">
        <v>2062.0</v>
      </c>
      <c r="FN31" s="14">
        <v>2063.0</v>
      </c>
      <c r="FO31" s="15">
        <v>2064.0</v>
      </c>
      <c r="FP31" s="14">
        <v>2065.0</v>
      </c>
      <c r="FQ31" s="15">
        <v>2066.0</v>
      </c>
      <c r="FR31" s="14">
        <v>2067.0</v>
      </c>
      <c r="FS31" s="15">
        <v>2068.0</v>
      </c>
      <c r="FT31" s="14">
        <v>2069.0</v>
      </c>
      <c r="FU31" s="15">
        <v>2070.0</v>
      </c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  <c r="IS31" s="14"/>
    </row>
    <row r="32" ht="14.25" customHeight="1">
      <c r="A32" s="16" t="s">
        <v>21</v>
      </c>
      <c r="B32" s="16">
        <f t="shared" ref="B32:ED32" si="2">B23+1</f>
        <v>0.9793956044</v>
      </c>
      <c r="C32" s="16">
        <f t="shared" si="2"/>
        <v>1.047685835</v>
      </c>
      <c r="D32" s="16">
        <f t="shared" si="2"/>
        <v>0.9866131191</v>
      </c>
      <c r="E32" s="16">
        <f t="shared" si="2"/>
        <v>1.048846676</v>
      </c>
      <c r="F32" s="16">
        <f t="shared" si="2"/>
        <v>1.056921087</v>
      </c>
      <c r="G32" s="16">
        <f t="shared" si="2"/>
        <v>0.9889840881</v>
      </c>
      <c r="H32" s="16">
        <f t="shared" si="2"/>
        <v>0.9839108911</v>
      </c>
      <c r="I32" s="16">
        <f t="shared" si="2"/>
        <v>0.9836477987</v>
      </c>
      <c r="J32" s="16">
        <f t="shared" si="2"/>
        <v>1.02173913</v>
      </c>
      <c r="K32" s="16">
        <f t="shared" si="2"/>
        <v>1.007509387</v>
      </c>
      <c r="L32" s="16">
        <f t="shared" si="2"/>
        <v>1.017391304</v>
      </c>
      <c r="M32" s="16">
        <f t="shared" si="2"/>
        <v>1.018315018</v>
      </c>
      <c r="N32" s="16">
        <f t="shared" si="2"/>
        <v>1.043165468</v>
      </c>
      <c r="O32" s="16">
        <f t="shared" si="2"/>
        <v>0.9942528736</v>
      </c>
      <c r="P32" s="16">
        <f t="shared" si="2"/>
        <v>1.041618497</v>
      </c>
      <c r="Q32" s="16">
        <f t="shared" si="2"/>
        <v>0.9389567148</v>
      </c>
      <c r="R32" s="16">
        <f t="shared" si="2"/>
        <v>1.098108747</v>
      </c>
      <c r="S32" s="16">
        <f t="shared" si="2"/>
        <v>1.082884822</v>
      </c>
      <c r="T32" s="16">
        <f t="shared" si="2"/>
        <v>0.9940357853</v>
      </c>
      <c r="U32" s="16">
        <f t="shared" si="2"/>
        <v>0.929</v>
      </c>
      <c r="V32" s="16">
        <f t="shared" si="2"/>
        <v>0.979547901</v>
      </c>
      <c r="W32" s="16">
        <f t="shared" si="2"/>
        <v>1.050549451</v>
      </c>
      <c r="X32" s="16">
        <f t="shared" si="2"/>
        <v>0.8472803347</v>
      </c>
      <c r="Y32" s="16">
        <f t="shared" si="2"/>
        <v>0.7888888889</v>
      </c>
      <c r="Z32" s="16">
        <f t="shared" si="2"/>
        <v>1.178403756</v>
      </c>
      <c r="AA32" s="16">
        <f t="shared" si="2"/>
        <v>1.156706507</v>
      </c>
      <c r="AB32" s="16">
        <f t="shared" si="2"/>
        <v>0.9586681975</v>
      </c>
      <c r="AC32" s="16">
        <f t="shared" si="2"/>
        <v>1.179640719</v>
      </c>
      <c r="AD32" s="16">
        <f t="shared" si="2"/>
        <v>1.05177665</v>
      </c>
      <c r="AE32" s="16">
        <f t="shared" si="2"/>
        <v>1.125482625</v>
      </c>
      <c r="AF32" s="16">
        <f t="shared" si="2"/>
        <v>1.004288165</v>
      </c>
      <c r="AG32" s="16">
        <f t="shared" si="2"/>
        <v>1.0264731</v>
      </c>
      <c r="AH32" s="16">
        <f t="shared" si="2"/>
        <v>0.9792013311</v>
      </c>
      <c r="AI32" s="16">
        <f t="shared" si="2"/>
        <v>1.069668649</v>
      </c>
      <c r="AJ32" s="16">
        <f t="shared" si="2"/>
        <v>1.0675139</v>
      </c>
      <c r="AK32" s="16">
        <f t="shared" si="2"/>
        <v>0.9709821429</v>
      </c>
      <c r="AL32" s="16">
        <f t="shared" si="2"/>
        <v>0.9402298851</v>
      </c>
      <c r="AM32" s="16">
        <f t="shared" si="2"/>
        <v>0.934800326</v>
      </c>
      <c r="AN32" s="16">
        <f t="shared" si="2"/>
        <v>1.071490846</v>
      </c>
      <c r="AO32" s="16">
        <f t="shared" si="2"/>
        <v>0.9902359642</v>
      </c>
      <c r="AP32" s="16">
        <f t="shared" si="2"/>
        <v>0.9745275267</v>
      </c>
      <c r="AQ32" s="16">
        <f t="shared" si="2"/>
        <v>1.037942664</v>
      </c>
      <c r="AR32" s="16">
        <f t="shared" si="2"/>
        <v>1.057676686</v>
      </c>
      <c r="AS32" s="16">
        <f t="shared" si="2"/>
        <v>0.9961597542</v>
      </c>
      <c r="AT32" s="16">
        <f t="shared" si="2"/>
        <v>1.071703932</v>
      </c>
      <c r="AU32" s="16">
        <f t="shared" si="2"/>
        <v>0.8251798561</v>
      </c>
      <c r="AV32" s="16">
        <f t="shared" si="2"/>
        <v>0.7907585004</v>
      </c>
      <c r="AW32" s="16">
        <f t="shared" si="2"/>
        <v>0.8963616318</v>
      </c>
      <c r="AX32" s="16">
        <f t="shared" si="2"/>
        <v>0.9495694957</v>
      </c>
      <c r="AY32" s="16">
        <f t="shared" si="2"/>
        <v>0.8445595855</v>
      </c>
      <c r="AZ32" s="16">
        <f t="shared" si="2"/>
        <v>1.084355828</v>
      </c>
      <c r="BA32" s="16">
        <f t="shared" si="2"/>
        <v>1.520509194</v>
      </c>
      <c r="BB32" s="16">
        <f t="shared" si="2"/>
        <v>1.08372093</v>
      </c>
      <c r="BC32" s="16">
        <f t="shared" si="2"/>
        <v>1.072961373</v>
      </c>
      <c r="BD32" s="16">
        <f t="shared" si="2"/>
        <v>1.136</v>
      </c>
      <c r="BE32" s="16">
        <f t="shared" si="2"/>
        <v>1.085656175</v>
      </c>
      <c r="BF32" s="16">
        <f t="shared" si="2"/>
        <v>1.057915206</v>
      </c>
      <c r="BG32" s="16">
        <f t="shared" si="2"/>
        <v>1.031140341</v>
      </c>
      <c r="BH32" s="16">
        <f t="shared" si="2"/>
        <v>1.0345623</v>
      </c>
      <c r="BI32" s="16">
        <f t="shared" si="2"/>
        <v>1.055783202</v>
      </c>
      <c r="BJ32" s="16">
        <f t="shared" si="2"/>
        <v>1.053118715</v>
      </c>
      <c r="BK32" s="16">
        <f t="shared" si="2"/>
        <v>1.049878537</v>
      </c>
      <c r="BL32" s="16">
        <f t="shared" si="2"/>
        <v>1.05516714</v>
      </c>
      <c r="BM32" s="16">
        <f t="shared" si="2"/>
        <v>1.026957139</v>
      </c>
      <c r="BN32" s="16">
        <f t="shared" si="2"/>
        <v>1.026714248</v>
      </c>
      <c r="BO32" s="16">
        <f t="shared" si="2"/>
        <v>1.079919525</v>
      </c>
      <c r="BP32" s="16">
        <f t="shared" si="2"/>
        <v>1.049801329</v>
      </c>
      <c r="BQ32" s="16">
        <f t="shared" si="2"/>
        <v>1.06843535</v>
      </c>
      <c r="BR32" s="16">
        <f t="shared" si="2"/>
        <v>1.062335562</v>
      </c>
      <c r="BS32" s="16">
        <f t="shared" si="2"/>
        <v>1.066522008</v>
      </c>
      <c r="BT32" s="16">
        <f t="shared" si="2"/>
        <v>1.048614266</v>
      </c>
      <c r="BU32" s="16">
        <f t="shared" si="2"/>
        <v>1.052518336</v>
      </c>
      <c r="BV32" s="16">
        <f t="shared" si="2"/>
        <v>1.049212313</v>
      </c>
      <c r="BW32" s="16">
        <f t="shared" si="2"/>
        <v>1.04491319</v>
      </c>
      <c r="BX32" s="16">
        <f t="shared" si="2"/>
        <v>1.071094501</v>
      </c>
      <c r="BY32" s="16">
        <f t="shared" si="2"/>
        <v>1.061086776</v>
      </c>
      <c r="BZ32" s="16">
        <f t="shared" si="2"/>
        <v>1.053167529</v>
      </c>
      <c r="CA32" s="16">
        <f t="shared" si="2"/>
        <v>1.045113716</v>
      </c>
      <c r="CB32" s="16">
        <f t="shared" si="2"/>
        <v>1.063445649</v>
      </c>
      <c r="CC32" s="16">
        <f t="shared" si="2"/>
        <v>1.043008407</v>
      </c>
      <c r="CD32" s="16">
        <f t="shared" si="2"/>
        <v>0.9904013267</v>
      </c>
      <c r="CE32" s="16">
        <f t="shared" si="2"/>
        <v>1.043567555</v>
      </c>
      <c r="CF32" s="16">
        <f t="shared" si="2"/>
        <v>1.034642924</v>
      </c>
      <c r="CG32" s="16">
        <f t="shared" si="2"/>
        <v>1.039785495</v>
      </c>
      <c r="CH32" s="16">
        <f t="shared" si="2"/>
        <v>1.035500004</v>
      </c>
      <c r="CI32" s="16">
        <f t="shared" si="2"/>
        <v>1.015788012</v>
      </c>
      <c r="CJ32" s="16">
        <f t="shared" si="2"/>
        <v>1.010690128</v>
      </c>
      <c r="CK32" s="16">
        <f t="shared" si="2"/>
        <v>1.025053614</v>
      </c>
      <c r="CL32" s="16">
        <f t="shared" si="2"/>
        <v>1.012408529</v>
      </c>
      <c r="CM32" s="16">
        <f t="shared" si="2"/>
        <v>1.015137079</v>
      </c>
      <c r="CN32" s="16">
        <f t="shared" si="2"/>
        <v>1.016228217</v>
      </c>
      <c r="CO32" s="16">
        <f t="shared" si="2"/>
        <v>1.023372356</v>
      </c>
      <c r="CP32" s="16">
        <f t="shared" si="2"/>
        <v>1.025619087</v>
      </c>
      <c r="CQ32" s="16">
        <f t="shared" si="2"/>
        <v>1.047431851</v>
      </c>
      <c r="CR32" s="16">
        <f t="shared" si="2"/>
        <v>1.0434382</v>
      </c>
      <c r="CS32" s="16">
        <f t="shared" si="2"/>
        <v>1.029239517</v>
      </c>
      <c r="CT32" s="16">
        <f t="shared" si="2"/>
        <v>1.010481802</v>
      </c>
      <c r="CU32" s="16">
        <f t="shared" si="2"/>
        <v>1.015993465</v>
      </c>
      <c r="CV32" s="16">
        <f t="shared" si="2"/>
        <v>0.9937134115</v>
      </c>
      <c r="CW32" s="16">
        <f t="shared" si="2"/>
        <v>1.023583717</v>
      </c>
      <c r="CX32" s="16">
        <f t="shared" si="2"/>
        <v>1.021066514</v>
      </c>
      <c r="CY32" s="16">
        <f t="shared" si="2"/>
        <v>1.01412996</v>
      </c>
      <c r="CZ32" s="16">
        <f t="shared" si="2"/>
        <v>1.023363294</v>
      </c>
      <c r="DA32" s="16">
        <f t="shared" si="2"/>
        <v>1.035886293</v>
      </c>
      <c r="DB32" s="16">
        <f t="shared" si="2"/>
        <v>1.034213524</v>
      </c>
      <c r="DC32" s="16">
        <f t="shared" si="2"/>
        <v>1.039237125</v>
      </c>
      <c r="DD32" s="16">
        <f t="shared" si="2"/>
        <v>1.019837121</v>
      </c>
      <c r="DE32" s="16">
        <f t="shared" si="2"/>
        <v>1.011355417</v>
      </c>
      <c r="DF32" s="16">
        <f t="shared" si="2"/>
        <v>1.00823123</v>
      </c>
      <c r="DG32" s="16">
        <f t="shared" si="2"/>
        <v>1.028297966</v>
      </c>
      <c r="DH32" s="16">
        <f t="shared" si="2"/>
        <v>1.016631821</v>
      </c>
      <c r="DI32" s="16">
        <f t="shared" si="2"/>
        <v>1.024493454</v>
      </c>
      <c r="DJ32" s="16">
        <f t="shared" si="2"/>
        <v>1.024247398</v>
      </c>
      <c r="DK32" s="16">
        <f t="shared" si="2"/>
        <v>1.002549368</v>
      </c>
      <c r="DL32" s="16">
        <f t="shared" si="2"/>
        <v>0.9712667459</v>
      </c>
      <c r="DM32" s="16">
        <f t="shared" si="2"/>
        <v>1.019494589</v>
      </c>
      <c r="DN32" s="16">
        <f t="shared" si="2"/>
        <v>1.021926797</v>
      </c>
      <c r="DO32" s="16">
        <f t="shared" si="2"/>
        <v>1.003131645</v>
      </c>
      <c r="DP32" s="16">
        <f t="shared" si="2"/>
        <v>1.005763236</v>
      </c>
      <c r="DQ32" s="16">
        <f t="shared" si="2"/>
        <v>1.009561687</v>
      </c>
      <c r="DR32" s="16">
        <f t="shared" si="2"/>
        <v>1.011129123</v>
      </c>
      <c r="DS32" s="16">
        <f t="shared" si="2"/>
        <v>1.010954626</v>
      </c>
      <c r="DT32" s="16">
        <f t="shared" si="2"/>
        <v>1.022914075</v>
      </c>
      <c r="DU32" s="16">
        <f t="shared" si="2"/>
        <v>1.018</v>
      </c>
      <c r="DV32" s="16">
        <f t="shared" si="2"/>
        <v>1.015</v>
      </c>
      <c r="DW32" s="16">
        <f t="shared" si="2"/>
        <v>0.918</v>
      </c>
      <c r="DX32" s="16">
        <f t="shared" si="2"/>
        <v>1.05</v>
      </c>
      <c r="DY32" s="16">
        <f t="shared" si="2"/>
        <v>1.04</v>
      </c>
      <c r="DZ32" s="16">
        <f t="shared" si="2"/>
        <v>1.023</v>
      </c>
      <c r="EA32" s="16">
        <f t="shared" si="2"/>
        <v>1.016</v>
      </c>
      <c r="EB32" s="16">
        <f t="shared" si="2"/>
        <v>1.014</v>
      </c>
      <c r="EC32" s="16">
        <f t="shared" si="2"/>
        <v>1.014</v>
      </c>
      <c r="ED32" s="16">
        <f t="shared" si="2"/>
        <v>1.014</v>
      </c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</row>
    <row r="33" ht="14.25" customHeight="1">
      <c r="A33" s="16" t="s">
        <v>22</v>
      </c>
      <c r="B33" s="16">
        <f t="shared" ref="B33:FU33" si="3">B24+1</f>
        <v>0.9793956044</v>
      </c>
      <c r="C33" s="16">
        <f t="shared" si="3"/>
        <v>1.047685835</v>
      </c>
      <c r="D33" s="16">
        <f t="shared" si="3"/>
        <v>0.9866131191</v>
      </c>
      <c r="E33" s="16">
        <f t="shared" si="3"/>
        <v>1.048846676</v>
      </c>
      <c r="F33" s="16">
        <f t="shared" si="3"/>
        <v>1.056921087</v>
      </c>
      <c r="G33" s="16">
        <f t="shared" si="3"/>
        <v>0.9889840881</v>
      </c>
      <c r="H33" s="16">
        <f t="shared" si="3"/>
        <v>0.9839108911</v>
      </c>
      <c r="I33" s="16">
        <f t="shared" si="3"/>
        <v>0.9836477987</v>
      </c>
      <c r="J33" s="16">
        <f t="shared" si="3"/>
        <v>1.02173913</v>
      </c>
      <c r="K33" s="16">
        <f t="shared" si="3"/>
        <v>1.007509387</v>
      </c>
      <c r="L33" s="16">
        <f t="shared" si="3"/>
        <v>1.017391304</v>
      </c>
      <c r="M33" s="16">
        <f t="shared" si="3"/>
        <v>1.018315018</v>
      </c>
      <c r="N33" s="16">
        <f t="shared" si="3"/>
        <v>1.043165468</v>
      </c>
      <c r="O33" s="16">
        <f t="shared" si="3"/>
        <v>0.9942528736</v>
      </c>
      <c r="P33" s="16">
        <f t="shared" si="3"/>
        <v>1.041618497</v>
      </c>
      <c r="Q33" s="16">
        <f t="shared" si="3"/>
        <v>0.9389567148</v>
      </c>
      <c r="R33" s="16">
        <f t="shared" si="3"/>
        <v>1.098108747</v>
      </c>
      <c r="S33" s="16">
        <f t="shared" si="3"/>
        <v>1.082884822</v>
      </c>
      <c r="T33" s="16">
        <f t="shared" si="3"/>
        <v>0.9940357853</v>
      </c>
      <c r="U33" s="16">
        <f t="shared" si="3"/>
        <v>0.929</v>
      </c>
      <c r="V33" s="16">
        <f t="shared" si="3"/>
        <v>0.979547901</v>
      </c>
      <c r="W33" s="16">
        <f t="shared" si="3"/>
        <v>1.050549451</v>
      </c>
      <c r="X33" s="16">
        <f t="shared" si="3"/>
        <v>0.8472803347</v>
      </c>
      <c r="Y33" s="16">
        <f t="shared" si="3"/>
        <v>0.7888888889</v>
      </c>
      <c r="Z33" s="16">
        <f t="shared" si="3"/>
        <v>1.178403756</v>
      </c>
      <c r="AA33" s="16">
        <f t="shared" si="3"/>
        <v>1.156706507</v>
      </c>
      <c r="AB33" s="16">
        <f t="shared" si="3"/>
        <v>0.9586681975</v>
      </c>
      <c r="AC33" s="16">
        <f t="shared" si="3"/>
        <v>1.179640719</v>
      </c>
      <c r="AD33" s="16">
        <f t="shared" si="3"/>
        <v>1.05177665</v>
      </c>
      <c r="AE33" s="16">
        <f t="shared" si="3"/>
        <v>1.125482625</v>
      </c>
      <c r="AF33" s="16">
        <f t="shared" si="3"/>
        <v>1.004288165</v>
      </c>
      <c r="AG33" s="16">
        <f t="shared" si="3"/>
        <v>1.0264731</v>
      </c>
      <c r="AH33" s="16">
        <f t="shared" si="3"/>
        <v>0.9792013311</v>
      </c>
      <c r="AI33" s="16">
        <f t="shared" si="3"/>
        <v>1.069668649</v>
      </c>
      <c r="AJ33" s="16">
        <f t="shared" si="3"/>
        <v>1.0675139</v>
      </c>
      <c r="AK33" s="16">
        <f t="shared" si="3"/>
        <v>0.9709821429</v>
      </c>
      <c r="AL33" s="16">
        <f t="shared" si="3"/>
        <v>0.9402298851</v>
      </c>
      <c r="AM33" s="16">
        <f t="shared" si="3"/>
        <v>0.934800326</v>
      </c>
      <c r="AN33" s="16">
        <f t="shared" si="3"/>
        <v>1.071490846</v>
      </c>
      <c r="AO33" s="16">
        <f t="shared" si="3"/>
        <v>0.9902359642</v>
      </c>
      <c r="AP33" s="16">
        <f t="shared" si="3"/>
        <v>0.9745275267</v>
      </c>
      <c r="AQ33" s="16">
        <f t="shared" si="3"/>
        <v>1.037942664</v>
      </c>
      <c r="AR33" s="16">
        <f t="shared" si="3"/>
        <v>1.057676686</v>
      </c>
      <c r="AS33" s="16">
        <f t="shared" si="3"/>
        <v>0.9961597542</v>
      </c>
      <c r="AT33" s="16">
        <f t="shared" si="3"/>
        <v>1.071703932</v>
      </c>
      <c r="AU33" s="16">
        <f t="shared" si="3"/>
        <v>0.8251798561</v>
      </c>
      <c r="AV33" s="16">
        <f t="shared" si="3"/>
        <v>0.7907585004</v>
      </c>
      <c r="AW33" s="16">
        <f t="shared" si="3"/>
        <v>0.8963616318</v>
      </c>
      <c r="AX33" s="16">
        <f t="shared" si="3"/>
        <v>0.9495694957</v>
      </c>
      <c r="AY33" s="16">
        <f t="shared" si="3"/>
        <v>0.8445595855</v>
      </c>
      <c r="AZ33" s="16">
        <f t="shared" si="3"/>
        <v>1.084355828</v>
      </c>
      <c r="BA33" s="16">
        <f t="shared" si="3"/>
        <v>1.520509194</v>
      </c>
      <c r="BB33" s="16">
        <f t="shared" si="3"/>
        <v>1.08372093</v>
      </c>
      <c r="BC33" s="16">
        <f t="shared" si="3"/>
        <v>1.072961373</v>
      </c>
      <c r="BD33" s="16">
        <f t="shared" si="3"/>
        <v>1.136</v>
      </c>
      <c r="BE33" s="16">
        <f t="shared" si="3"/>
        <v>1.085656175</v>
      </c>
      <c r="BF33" s="16">
        <f t="shared" si="3"/>
        <v>1.057915206</v>
      </c>
      <c r="BG33" s="16">
        <f t="shared" si="3"/>
        <v>1.031140341</v>
      </c>
      <c r="BH33" s="16">
        <f t="shared" si="3"/>
        <v>1.0345623</v>
      </c>
      <c r="BI33" s="16">
        <f t="shared" si="3"/>
        <v>1.055783202</v>
      </c>
      <c r="BJ33" s="16">
        <f t="shared" si="3"/>
        <v>1.053118715</v>
      </c>
      <c r="BK33" s="16">
        <f t="shared" si="3"/>
        <v>1.049878537</v>
      </c>
      <c r="BL33" s="16">
        <f t="shared" si="3"/>
        <v>1.05516714</v>
      </c>
      <c r="BM33" s="16">
        <f t="shared" si="3"/>
        <v>1.026957139</v>
      </c>
      <c r="BN33" s="16">
        <f t="shared" si="3"/>
        <v>1.026714248</v>
      </c>
      <c r="BO33" s="16">
        <f t="shared" si="3"/>
        <v>1.079919525</v>
      </c>
      <c r="BP33" s="16">
        <f t="shared" si="3"/>
        <v>1.049801329</v>
      </c>
      <c r="BQ33" s="16">
        <f t="shared" si="3"/>
        <v>1.06843535</v>
      </c>
      <c r="BR33" s="16">
        <f t="shared" si="3"/>
        <v>1.062335562</v>
      </c>
      <c r="BS33" s="16">
        <f t="shared" si="3"/>
        <v>1.066522008</v>
      </c>
      <c r="BT33" s="16">
        <f t="shared" si="3"/>
        <v>1.048614266</v>
      </c>
      <c r="BU33" s="16">
        <f t="shared" si="3"/>
        <v>1.052518336</v>
      </c>
      <c r="BV33" s="16">
        <f t="shared" si="3"/>
        <v>1.049212313</v>
      </c>
      <c r="BW33" s="16">
        <f t="shared" si="3"/>
        <v>1.04491319</v>
      </c>
      <c r="BX33" s="16">
        <f t="shared" si="3"/>
        <v>1.071094501</v>
      </c>
      <c r="BY33" s="16">
        <f t="shared" si="3"/>
        <v>1.061086776</v>
      </c>
      <c r="BZ33" s="16">
        <f t="shared" si="3"/>
        <v>1.053167529</v>
      </c>
      <c r="CA33" s="16">
        <f t="shared" si="3"/>
        <v>1.045113716</v>
      </c>
      <c r="CB33" s="16">
        <f t="shared" si="3"/>
        <v>1.063445649</v>
      </c>
      <c r="CC33" s="16">
        <f t="shared" si="3"/>
        <v>1.043008407</v>
      </c>
      <c r="CD33" s="16">
        <f t="shared" si="3"/>
        <v>0.9904013267</v>
      </c>
      <c r="CE33" s="16">
        <f t="shared" si="3"/>
        <v>1.043567555</v>
      </c>
      <c r="CF33" s="16">
        <f t="shared" si="3"/>
        <v>1.034642924</v>
      </c>
      <c r="CG33" s="16">
        <f t="shared" si="3"/>
        <v>1.039785495</v>
      </c>
      <c r="CH33" s="16">
        <f t="shared" si="3"/>
        <v>1.035500004</v>
      </c>
      <c r="CI33" s="16">
        <f t="shared" si="3"/>
        <v>1.015788012</v>
      </c>
      <c r="CJ33" s="16">
        <f t="shared" si="3"/>
        <v>1.010690128</v>
      </c>
      <c r="CK33" s="16">
        <f t="shared" si="3"/>
        <v>1.025053614</v>
      </c>
      <c r="CL33" s="16">
        <f t="shared" si="3"/>
        <v>1.012408529</v>
      </c>
      <c r="CM33" s="16">
        <f t="shared" si="3"/>
        <v>1.015137079</v>
      </c>
      <c r="CN33" s="16">
        <f t="shared" si="3"/>
        <v>1.016228217</v>
      </c>
      <c r="CO33" s="16">
        <f t="shared" si="3"/>
        <v>1.023372356</v>
      </c>
      <c r="CP33" s="16">
        <f t="shared" si="3"/>
        <v>1.025619087</v>
      </c>
      <c r="CQ33" s="16">
        <f t="shared" si="3"/>
        <v>1.047431851</v>
      </c>
      <c r="CR33" s="16">
        <f t="shared" si="3"/>
        <v>1.0434382</v>
      </c>
      <c r="CS33" s="16">
        <f t="shared" si="3"/>
        <v>1.029239517</v>
      </c>
      <c r="CT33" s="16">
        <f t="shared" si="3"/>
        <v>1.010481802</v>
      </c>
      <c r="CU33" s="16">
        <f t="shared" si="3"/>
        <v>1.015993465</v>
      </c>
      <c r="CV33" s="16">
        <f t="shared" si="3"/>
        <v>0.9937134115</v>
      </c>
      <c r="CW33" s="16">
        <f t="shared" si="3"/>
        <v>1.023583717</v>
      </c>
      <c r="CX33" s="16">
        <f t="shared" si="3"/>
        <v>1.021066514</v>
      </c>
      <c r="CY33" s="16">
        <f t="shared" si="3"/>
        <v>1.01412996</v>
      </c>
      <c r="CZ33" s="16">
        <f t="shared" si="3"/>
        <v>1.023363294</v>
      </c>
      <c r="DA33" s="16">
        <f t="shared" si="3"/>
        <v>1.035886293</v>
      </c>
      <c r="DB33" s="16">
        <f t="shared" si="3"/>
        <v>1.034213524</v>
      </c>
      <c r="DC33" s="16">
        <f t="shared" si="3"/>
        <v>1.039237125</v>
      </c>
      <c r="DD33" s="16">
        <f t="shared" si="3"/>
        <v>1.019837121</v>
      </c>
      <c r="DE33" s="16">
        <f t="shared" si="3"/>
        <v>1.011355417</v>
      </c>
      <c r="DF33" s="16">
        <f t="shared" si="3"/>
        <v>1.00823123</v>
      </c>
      <c r="DG33" s="16">
        <f t="shared" si="3"/>
        <v>1.028297966</v>
      </c>
      <c r="DH33" s="16">
        <f t="shared" si="3"/>
        <v>1.016631821</v>
      </c>
      <c r="DI33" s="16">
        <f t="shared" si="3"/>
        <v>1.024493454</v>
      </c>
      <c r="DJ33" s="16">
        <f t="shared" si="3"/>
        <v>1.024247398</v>
      </c>
      <c r="DK33" s="16">
        <f t="shared" si="3"/>
        <v>1.002549368</v>
      </c>
      <c r="DL33" s="16">
        <f t="shared" si="3"/>
        <v>0.9712667459</v>
      </c>
      <c r="DM33" s="16">
        <f t="shared" si="3"/>
        <v>1.019494589</v>
      </c>
      <c r="DN33" s="16">
        <f t="shared" si="3"/>
        <v>1.021926797</v>
      </c>
      <c r="DO33" s="16">
        <f t="shared" si="3"/>
        <v>1.003131645</v>
      </c>
      <c r="DP33" s="16">
        <f t="shared" si="3"/>
        <v>1.005763236</v>
      </c>
      <c r="DQ33" s="16">
        <f t="shared" si="3"/>
        <v>1.009561687</v>
      </c>
      <c r="DR33" s="16">
        <f t="shared" si="3"/>
        <v>1.011129123</v>
      </c>
      <c r="DS33" s="16">
        <f t="shared" si="3"/>
        <v>1.010954626</v>
      </c>
      <c r="DT33" s="16">
        <f t="shared" si="3"/>
        <v>1.022914075</v>
      </c>
      <c r="DU33" s="16">
        <f t="shared" si="3"/>
        <v>1.018</v>
      </c>
      <c r="DV33" s="16">
        <f t="shared" si="3"/>
        <v>1.015</v>
      </c>
      <c r="DW33" s="16">
        <f t="shared" si="3"/>
        <v>0.918</v>
      </c>
      <c r="DX33" s="16">
        <f t="shared" si="3"/>
        <v>1.05</v>
      </c>
      <c r="DY33" s="16">
        <f t="shared" si="3"/>
        <v>1.04</v>
      </c>
      <c r="DZ33" s="16">
        <f t="shared" si="3"/>
        <v>1.023</v>
      </c>
      <c r="EA33" s="16">
        <f t="shared" si="3"/>
        <v>1.016</v>
      </c>
      <c r="EB33" s="16">
        <f t="shared" si="3"/>
        <v>1.014</v>
      </c>
      <c r="EC33" s="16">
        <f t="shared" si="3"/>
        <v>1.014</v>
      </c>
      <c r="ED33" s="16">
        <f t="shared" si="3"/>
        <v>1.014</v>
      </c>
      <c r="EE33" s="16">
        <f t="shared" si="3"/>
        <v>1.017</v>
      </c>
      <c r="EF33" s="16">
        <f t="shared" si="3"/>
        <v>1.017</v>
      </c>
      <c r="EG33" s="16">
        <f t="shared" si="3"/>
        <v>1.017</v>
      </c>
      <c r="EH33" s="16">
        <f t="shared" si="3"/>
        <v>1.017</v>
      </c>
      <c r="EI33" s="16">
        <f t="shared" si="3"/>
        <v>1.019</v>
      </c>
      <c r="EJ33" s="16">
        <f t="shared" si="3"/>
        <v>1.019</v>
      </c>
      <c r="EK33" s="16">
        <f t="shared" si="3"/>
        <v>1.019</v>
      </c>
      <c r="EL33" s="16">
        <f t="shared" si="3"/>
        <v>1.019</v>
      </c>
      <c r="EM33" s="16">
        <f t="shared" si="3"/>
        <v>1.019</v>
      </c>
      <c r="EN33" s="16">
        <f t="shared" si="3"/>
        <v>1.019</v>
      </c>
      <c r="EO33" s="16">
        <f t="shared" si="3"/>
        <v>1.019</v>
      </c>
      <c r="EP33" s="16">
        <f t="shared" si="3"/>
        <v>1.019</v>
      </c>
      <c r="EQ33" s="16">
        <f t="shared" si="3"/>
        <v>1.019</v>
      </c>
      <c r="ER33" s="16">
        <f t="shared" si="3"/>
        <v>1.017</v>
      </c>
      <c r="ES33" s="16">
        <f t="shared" si="3"/>
        <v>1.017</v>
      </c>
      <c r="ET33" s="16">
        <f t="shared" si="3"/>
        <v>1.017</v>
      </c>
      <c r="EU33" s="16">
        <f t="shared" si="3"/>
        <v>1.017</v>
      </c>
      <c r="EV33" s="16">
        <f t="shared" si="3"/>
        <v>1.017</v>
      </c>
      <c r="EW33" s="16">
        <f t="shared" si="3"/>
        <v>1.017</v>
      </c>
      <c r="EX33" s="16">
        <f t="shared" si="3"/>
        <v>1.017</v>
      </c>
      <c r="EY33" s="16">
        <f t="shared" si="3"/>
        <v>1.017</v>
      </c>
      <c r="EZ33" s="16">
        <f t="shared" si="3"/>
        <v>1.017</v>
      </c>
      <c r="FA33" s="16">
        <f t="shared" si="3"/>
        <v>1.017</v>
      </c>
      <c r="FB33" s="16">
        <f t="shared" si="3"/>
        <v>1.017</v>
      </c>
      <c r="FC33" s="16">
        <f t="shared" si="3"/>
        <v>1.017</v>
      </c>
      <c r="FD33" s="16">
        <f t="shared" si="3"/>
        <v>1.017</v>
      </c>
      <c r="FE33" s="16">
        <f t="shared" si="3"/>
        <v>1.017</v>
      </c>
      <c r="FF33" s="16">
        <f t="shared" si="3"/>
        <v>1.017</v>
      </c>
      <c r="FG33" s="16">
        <f t="shared" si="3"/>
        <v>1.017</v>
      </c>
      <c r="FH33" s="16">
        <f t="shared" si="3"/>
        <v>1.017</v>
      </c>
      <c r="FI33" s="16">
        <f t="shared" si="3"/>
        <v>1.017</v>
      </c>
      <c r="FJ33" s="16">
        <f t="shared" si="3"/>
        <v>1.017</v>
      </c>
      <c r="FK33" s="16">
        <f t="shared" si="3"/>
        <v>1.017</v>
      </c>
      <c r="FL33" s="16">
        <f t="shared" si="3"/>
        <v>1.017</v>
      </c>
      <c r="FM33" s="16">
        <f t="shared" si="3"/>
        <v>1.017</v>
      </c>
      <c r="FN33" s="16">
        <f t="shared" si="3"/>
        <v>1.017</v>
      </c>
      <c r="FO33" s="16">
        <f t="shared" si="3"/>
        <v>1.017</v>
      </c>
      <c r="FP33" s="16">
        <f t="shared" si="3"/>
        <v>1.017</v>
      </c>
      <c r="FQ33" s="16">
        <f t="shared" si="3"/>
        <v>1.017</v>
      </c>
      <c r="FR33" s="16">
        <f t="shared" si="3"/>
        <v>1.017</v>
      </c>
      <c r="FS33" s="16">
        <f t="shared" si="3"/>
        <v>1.017</v>
      </c>
      <c r="FT33" s="16">
        <f t="shared" si="3"/>
        <v>1.017</v>
      </c>
      <c r="FU33" s="16">
        <f t="shared" si="3"/>
        <v>1.017</v>
      </c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</row>
    <row r="34" ht="14.25" customHeight="1">
      <c r="A34" s="16" t="s">
        <v>23</v>
      </c>
      <c r="B34" s="16">
        <f t="shared" ref="B34:FU34" si="4">B25+1</f>
        <v>0.9793956044</v>
      </c>
      <c r="C34" s="16">
        <f t="shared" si="4"/>
        <v>1.047685835</v>
      </c>
      <c r="D34" s="16">
        <f t="shared" si="4"/>
        <v>0.9866131191</v>
      </c>
      <c r="E34" s="16">
        <f t="shared" si="4"/>
        <v>1.048846676</v>
      </c>
      <c r="F34" s="16">
        <f t="shared" si="4"/>
        <v>1.056921087</v>
      </c>
      <c r="G34" s="16">
        <f t="shared" si="4"/>
        <v>0.9889840881</v>
      </c>
      <c r="H34" s="16">
        <f t="shared" si="4"/>
        <v>0.9839108911</v>
      </c>
      <c r="I34" s="16">
        <f t="shared" si="4"/>
        <v>0.9836477987</v>
      </c>
      <c r="J34" s="16">
        <f t="shared" si="4"/>
        <v>1.02173913</v>
      </c>
      <c r="K34" s="16">
        <f t="shared" si="4"/>
        <v>1.007509387</v>
      </c>
      <c r="L34" s="16">
        <f t="shared" si="4"/>
        <v>1.017391304</v>
      </c>
      <c r="M34" s="16">
        <f t="shared" si="4"/>
        <v>1.018315018</v>
      </c>
      <c r="N34" s="16">
        <f t="shared" si="4"/>
        <v>1.043165468</v>
      </c>
      <c r="O34" s="16">
        <f t="shared" si="4"/>
        <v>0.9942528736</v>
      </c>
      <c r="P34" s="16">
        <f t="shared" si="4"/>
        <v>1.041618497</v>
      </c>
      <c r="Q34" s="16">
        <f t="shared" si="4"/>
        <v>0.9389567148</v>
      </c>
      <c r="R34" s="16">
        <f t="shared" si="4"/>
        <v>1.098108747</v>
      </c>
      <c r="S34" s="16">
        <f t="shared" si="4"/>
        <v>1.082884822</v>
      </c>
      <c r="T34" s="16">
        <f t="shared" si="4"/>
        <v>0.9940357853</v>
      </c>
      <c r="U34" s="16">
        <f t="shared" si="4"/>
        <v>0.929</v>
      </c>
      <c r="V34" s="16">
        <f t="shared" si="4"/>
        <v>0.979547901</v>
      </c>
      <c r="W34" s="16">
        <f t="shared" si="4"/>
        <v>1.050549451</v>
      </c>
      <c r="X34" s="16">
        <f t="shared" si="4"/>
        <v>0.8472803347</v>
      </c>
      <c r="Y34" s="16">
        <f t="shared" si="4"/>
        <v>0.7888888889</v>
      </c>
      <c r="Z34" s="16">
        <f t="shared" si="4"/>
        <v>1.178403756</v>
      </c>
      <c r="AA34" s="16">
        <f t="shared" si="4"/>
        <v>1.156706507</v>
      </c>
      <c r="AB34" s="16">
        <f t="shared" si="4"/>
        <v>0.9586681975</v>
      </c>
      <c r="AC34" s="16">
        <f t="shared" si="4"/>
        <v>1.179640719</v>
      </c>
      <c r="AD34" s="16">
        <f t="shared" si="4"/>
        <v>1.05177665</v>
      </c>
      <c r="AE34" s="16">
        <f t="shared" si="4"/>
        <v>1.125482625</v>
      </c>
      <c r="AF34" s="16">
        <f t="shared" si="4"/>
        <v>1.004288165</v>
      </c>
      <c r="AG34" s="16">
        <f t="shared" si="4"/>
        <v>1.0264731</v>
      </c>
      <c r="AH34" s="16">
        <f t="shared" si="4"/>
        <v>0.9792013311</v>
      </c>
      <c r="AI34" s="16">
        <f t="shared" si="4"/>
        <v>1.069668649</v>
      </c>
      <c r="AJ34" s="16">
        <f t="shared" si="4"/>
        <v>1.0675139</v>
      </c>
      <c r="AK34" s="16">
        <f t="shared" si="4"/>
        <v>0.9709821429</v>
      </c>
      <c r="AL34" s="16">
        <f t="shared" si="4"/>
        <v>0.9402298851</v>
      </c>
      <c r="AM34" s="16">
        <f t="shared" si="4"/>
        <v>0.934800326</v>
      </c>
      <c r="AN34" s="16">
        <f t="shared" si="4"/>
        <v>1.071490846</v>
      </c>
      <c r="AO34" s="16">
        <f t="shared" si="4"/>
        <v>0.9902359642</v>
      </c>
      <c r="AP34" s="16">
        <f t="shared" si="4"/>
        <v>0.9745275267</v>
      </c>
      <c r="AQ34" s="16">
        <f t="shared" si="4"/>
        <v>1.037942664</v>
      </c>
      <c r="AR34" s="16">
        <f t="shared" si="4"/>
        <v>1.057676686</v>
      </c>
      <c r="AS34" s="16">
        <f t="shared" si="4"/>
        <v>0.9961597542</v>
      </c>
      <c r="AT34" s="16">
        <f t="shared" si="4"/>
        <v>1.071703932</v>
      </c>
      <c r="AU34" s="16">
        <f t="shared" si="4"/>
        <v>0.8251798561</v>
      </c>
      <c r="AV34" s="16">
        <f t="shared" si="4"/>
        <v>0.7907585004</v>
      </c>
      <c r="AW34" s="16">
        <f t="shared" si="4"/>
        <v>0.8963616318</v>
      </c>
      <c r="AX34" s="16">
        <f t="shared" si="4"/>
        <v>0.9495694957</v>
      </c>
      <c r="AY34" s="16">
        <f t="shared" si="4"/>
        <v>0.8445595855</v>
      </c>
      <c r="AZ34" s="16">
        <f t="shared" si="4"/>
        <v>1.084355828</v>
      </c>
      <c r="BA34" s="16">
        <f t="shared" si="4"/>
        <v>1.520509194</v>
      </c>
      <c r="BB34" s="16">
        <f t="shared" si="4"/>
        <v>1.08372093</v>
      </c>
      <c r="BC34" s="16">
        <f t="shared" si="4"/>
        <v>1.072961373</v>
      </c>
      <c r="BD34" s="16">
        <f t="shared" si="4"/>
        <v>1.136</v>
      </c>
      <c r="BE34" s="16">
        <f t="shared" si="4"/>
        <v>1.085656175</v>
      </c>
      <c r="BF34" s="16">
        <f t="shared" si="4"/>
        <v>1.057915206</v>
      </c>
      <c r="BG34" s="16">
        <f t="shared" si="4"/>
        <v>1.031140341</v>
      </c>
      <c r="BH34" s="16">
        <f t="shared" si="4"/>
        <v>1.0345623</v>
      </c>
      <c r="BI34" s="16">
        <f t="shared" si="4"/>
        <v>1.055783202</v>
      </c>
      <c r="BJ34" s="16">
        <f t="shared" si="4"/>
        <v>1.053118715</v>
      </c>
      <c r="BK34" s="16">
        <f t="shared" si="4"/>
        <v>1.049878537</v>
      </c>
      <c r="BL34" s="16">
        <f t="shared" si="4"/>
        <v>1.05516714</v>
      </c>
      <c r="BM34" s="16">
        <f t="shared" si="4"/>
        <v>1.026957139</v>
      </c>
      <c r="BN34" s="16">
        <f t="shared" si="4"/>
        <v>1.026714248</v>
      </c>
      <c r="BO34" s="16">
        <f t="shared" si="4"/>
        <v>1.079919525</v>
      </c>
      <c r="BP34" s="16">
        <f t="shared" si="4"/>
        <v>1.049801329</v>
      </c>
      <c r="BQ34" s="16">
        <f t="shared" si="4"/>
        <v>1.06843535</v>
      </c>
      <c r="BR34" s="16">
        <f t="shared" si="4"/>
        <v>1.062335562</v>
      </c>
      <c r="BS34" s="16">
        <f t="shared" si="4"/>
        <v>1.066522008</v>
      </c>
      <c r="BT34" s="16">
        <f t="shared" si="4"/>
        <v>1.048614266</v>
      </c>
      <c r="BU34" s="16">
        <f t="shared" si="4"/>
        <v>1.052518336</v>
      </c>
      <c r="BV34" s="16">
        <f t="shared" si="4"/>
        <v>1.049212313</v>
      </c>
      <c r="BW34" s="16">
        <f t="shared" si="4"/>
        <v>1.04491319</v>
      </c>
      <c r="BX34" s="16">
        <f t="shared" si="4"/>
        <v>1.071094501</v>
      </c>
      <c r="BY34" s="16">
        <f t="shared" si="4"/>
        <v>1.061086776</v>
      </c>
      <c r="BZ34" s="16">
        <f t="shared" si="4"/>
        <v>1.053167529</v>
      </c>
      <c r="CA34" s="16">
        <f t="shared" si="4"/>
        <v>1.045113716</v>
      </c>
      <c r="CB34" s="16">
        <f t="shared" si="4"/>
        <v>1.063445649</v>
      </c>
      <c r="CC34" s="16">
        <f t="shared" si="4"/>
        <v>1.043008407</v>
      </c>
      <c r="CD34" s="16">
        <f t="shared" si="4"/>
        <v>0.9904013267</v>
      </c>
      <c r="CE34" s="16">
        <f t="shared" si="4"/>
        <v>1.043567555</v>
      </c>
      <c r="CF34" s="16">
        <f t="shared" si="4"/>
        <v>1.034642924</v>
      </c>
      <c r="CG34" s="16">
        <f t="shared" si="4"/>
        <v>1.039785495</v>
      </c>
      <c r="CH34" s="16">
        <f t="shared" si="4"/>
        <v>1.035500004</v>
      </c>
      <c r="CI34" s="16">
        <f t="shared" si="4"/>
        <v>1.015788012</v>
      </c>
      <c r="CJ34" s="16">
        <f t="shared" si="4"/>
        <v>1.010690128</v>
      </c>
      <c r="CK34" s="16">
        <f t="shared" si="4"/>
        <v>1.025053614</v>
      </c>
      <c r="CL34" s="16">
        <f t="shared" si="4"/>
        <v>1.012408529</v>
      </c>
      <c r="CM34" s="16">
        <f t="shared" si="4"/>
        <v>1.015137079</v>
      </c>
      <c r="CN34" s="16">
        <f t="shared" si="4"/>
        <v>1.016228217</v>
      </c>
      <c r="CO34" s="16">
        <f t="shared" si="4"/>
        <v>1.023372356</v>
      </c>
      <c r="CP34" s="16">
        <f t="shared" si="4"/>
        <v>1.025619087</v>
      </c>
      <c r="CQ34" s="16">
        <f t="shared" si="4"/>
        <v>1.047431851</v>
      </c>
      <c r="CR34" s="16">
        <f t="shared" si="4"/>
        <v>1.0434382</v>
      </c>
      <c r="CS34" s="16">
        <f t="shared" si="4"/>
        <v>1.029239517</v>
      </c>
      <c r="CT34" s="16">
        <f t="shared" si="4"/>
        <v>1.010481802</v>
      </c>
      <c r="CU34" s="16">
        <f t="shared" si="4"/>
        <v>1.015993465</v>
      </c>
      <c r="CV34" s="16">
        <f t="shared" si="4"/>
        <v>0.9937134115</v>
      </c>
      <c r="CW34" s="16">
        <f t="shared" si="4"/>
        <v>1.023583717</v>
      </c>
      <c r="CX34" s="16">
        <f t="shared" si="4"/>
        <v>1.021066514</v>
      </c>
      <c r="CY34" s="16">
        <f t="shared" si="4"/>
        <v>1.01412996</v>
      </c>
      <c r="CZ34" s="16">
        <f t="shared" si="4"/>
        <v>1.023363294</v>
      </c>
      <c r="DA34" s="16">
        <f t="shared" si="4"/>
        <v>1.035886293</v>
      </c>
      <c r="DB34" s="16">
        <f t="shared" si="4"/>
        <v>1.034213524</v>
      </c>
      <c r="DC34" s="16">
        <f t="shared" si="4"/>
        <v>1.039237125</v>
      </c>
      <c r="DD34" s="16">
        <f t="shared" si="4"/>
        <v>1.019837121</v>
      </c>
      <c r="DE34" s="16">
        <f t="shared" si="4"/>
        <v>1.011355417</v>
      </c>
      <c r="DF34" s="16">
        <f t="shared" si="4"/>
        <v>1.00823123</v>
      </c>
      <c r="DG34" s="16">
        <f t="shared" si="4"/>
        <v>1.028297966</v>
      </c>
      <c r="DH34" s="16">
        <f t="shared" si="4"/>
        <v>1.016631821</v>
      </c>
      <c r="DI34" s="16">
        <f t="shared" si="4"/>
        <v>1.024493454</v>
      </c>
      <c r="DJ34" s="16">
        <f t="shared" si="4"/>
        <v>1.024247398</v>
      </c>
      <c r="DK34" s="16">
        <f t="shared" si="4"/>
        <v>1.002549368</v>
      </c>
      <c r="DL34" s="16">
        <f t="shared" si="4"/>
        <v>0.9712667459</v>
      </c>
      <c r="DM34" s="16">
        <f t="shared" si="4"/>
        <v>1.019494589</v>
      </c>
      <c r="DN34" s="16">
        <f t="shared" si="4"/>
        <v>1.021926797</v>
      </c>
      <c r="DO34" s="16">
        <f t="shared" si="4"/>
        <v>1.003131645</v>
      </c>
      <c r="DP34" s="16">
        <f t="shared" si="4"/>
        <v>1.005763236</v>
      </c>
      <c r="DQ34" s="16">
        <f t="shared" si="4"/>
        <v>1.009561687</v>
      </c>
      <c r="DR34" s="16">
        <f t="shared" si="4"/>
        <v>1.011129123</v>
      </c>
      <c r="DS34" s="16">
        <f t="shared" si="4"/>
        <v>1.010954626</v>
      </c>
      <c r="DT34" s="16">
        <f t="shared" si="4"/>
        <v>1.022914075</v>
      </c>
      <c r="DU34" s="16">
        <f t="shared" si="4"/>
        <v>1.018</v>
      </c>
      <c r="DV34" s="16">
        <f t="shared" si="4"/>
        <v>1.015</v>
      </c>
      <c r="DW34" s="16">
        <f t="shared" si="4"/>
        <v>0.918</v>
      </c>
      <c r="DX34" s="16">
        <f t="shared" si="4"/>
        <v>1.05</v>
      </c>
      <c r="DY34" s="16">
        <f t="shared" si="4"/>
        <v>1.04</v>
      </c>
      <c r="DZ34" s="16">
        <f t="shared" si="4"/>
        <v>1.023</v>
      </c>
      <c r="EA34" s="16">
        <f t="shared" si="4"/>
        <v>1.016</v>
      </c>
      <c r="EB34" s="16">
        <f t="shared" si="4"/>
        <v>1.014</v>
      </c>
      <c r="EC34" s="16">
        <f t="shared" si="4"/>
        <v>1.014</v>
      </c>
      <c r="ED34" s="16">
        <f t="shared" si="4"/>
        <v>1.014</v>
      </c>
      <c r="EE34" s="16">
        <f t="shared" si="4"/>
        <v>1.017</v>
      </c>
      <c r="EF34" s="16">
        <f t="shared" si="4"/>
        <v>1.017</v>
      </c>
      <c r="EG34" s="16">
        <f t="shared" si="4"/>
        <v>1.017</v>
      </c>
      <c r="EH34" s="16">
        <f t="shared" si="4"/>
        <v>1.017</v>
      </c>
      <c r="EI34" s="16">
        <f t="shared" si="4"/>
        <v>1.016</v>
      </c>
      <c r="EJ34" s="16">
        <f t="shared" si="4"/>
        <v>1.016</v>
      </c>
      <c r="EK34" s="16">
        <f t="shared" si="4"/>
        <v>1.016</v>
      </c>
      <c r="EL34" s="16">
        <f t="shared" si="4"/>
        <v>1.016</v>
      </c>
      <c r="EM34" s="16">
        <f t="shared" si="4"/>
        <v>1.016</v>
      </c>
      <c r="EN34" s="16">
        <f t="shared" si="4"/>
        <v>1.016</v>
      </c>
      <c r="EO34" s="16">
        <f t="shared" si="4"/>
        <v>1.016</v>
      </c>
      <c r="EP34" s="16">
        <f t="shared" si="4"/>
        <v>1.016</v>
      </c>
      <c r="EQ34" s="16">
        <f t="shared" si="4"/>
        <v>1.016</v>
      </c>
      <c r="ER34" s="16">
        <f t="shared" si="4"/>
        <v>1.014</v>
      </c>
      <c r="ES34" s="16">
        <f t="shared" si="4"/>
        <v>1.014</v>
      </c>
      <c r="ET34" s="16">
        <f t="shared" si="4"/>
        <v>1.014</v>
      </c>
      <c r="EU34" s="16">
        <f t="shared" si="4"/>
        <v>1.014</v>
      </c>
      <c r="EV34" s="16">
        <f t="shared" si="4"/>
        <v>1.014</v>
      </c>
      <c r="EW34" s="16">
        <f t="shared" si="4"/>
        <v>1.014</v>
      </c>
      <c r="EX34" s="16">
        <f t="shared" si="4"/>
        <v>1.014</v>
      </c>
      <c r="EY34" s="16">
        <f t="shared" si="4"/>
        <v>1.014</v>
      </c>
      <c r="EZ34" s="16">
        <f t="shared" si="4"/>
        <v>1.014</v>
      </c>
      <c r="FA34" s="16">
        <f t="shared" si="4"/>
        <v>1.014</v>
      </c>
      <c r="FB34" s="16">
        <f t="shared" si="4"/>
        <v>1.014</v>
      </c>
      <c r="FC34" s="16">
        <f t="shared" si="4"/>
        <v>1.014</v>
      </c>
      <c r="FD34" s="16">
        <f t="shared" si="4"/>
        <v>1.014</v>
      </c>
      <c r="FE34" s="16">
        <f t="shared" si="4"/>
        <v>1.014</v>
      </c>
      <c r="FF34" s="16">
        <f t="shared" si="4"/>
        <v>1.014</v>
      </c>
      <c r="FG34" s="16">
        <f t="shared" si="4"/>
        <v>1.014</v>
      </c>
      <c r="FH34" s="16">
        <f t="shared" si="4"/>
        <v>1.014</v>
      </c>
      <c r="FI34" s="16">
        <f t="shared" si="4"/>
        <v>1.014</v>
      </c>
      <c r="FJ34" s="16">
        <f t="shared" si="4"/>
        <v>1.014</v>
      </c>
      <c r="FK34" s="16">
        <f t="shared" si="4"/>
        <v>1.014</v>
      </c>
      <c r="FL34" s="16">
        <f t="shared" si="4"/>
        <v>1.014</v>
      </c>
      <c r="FM34" s="16">
        <f t="shared" si="4"/>
        <v>1.014</v>
      </c>
      <c r="FN34" s="16">
        <f t="shared" si="4"/>
        <v>1.014</v>
      </c>
      <c r="FO34" s="16">
        <f t="shared" si="4"/>
        <v>1.014</v>
      </c>
      <c r="FP34" s="16">
        <f t="shared" si="4"/>
        <v>1.014</v>
      </c>
      <c r="FQ34" s="16">
        <f t="shared" si="4"/>
        <v>1.014</v>
      </c>
      <c r="FR34" s="16">
        <f t="shared" si="4"/>
        <v>1.014</v>
      </c>
      <c r="FS34" s="16">
        <f t="shared" si="4"/>
        <v>1.014</v>
      </c>
      <c r="FT34" s="16">
        <f t="shared" si="4"/>
        <v>1.014</v>
      </c>
      <c r="FU34" s="16">
        <f t="shared" si="4"/>
        <v>1.014</v>
      </c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</row>
    <row r="35" ht="14.25" customHeight="1">
      <c r="A35" s="16" t="s">
        <v>24</v>
      </c>
      <c r="B35" s="16">
        <f t="shared" ref="B35:FU35" si="5">B26+1</f>
        <v>0.9793956044</v>
      </c>
      <c r="C35" s="16">
        <f t="shared" si="5"/>
        <v>1.047685835</v>
      </c>
      <c r="D35" s="16">
        <f t="shared" si="5"/>
        <v>0.9866131191</v>
      </c>
      <c r="E35" s="16">
        <f t="shared" si="5"/>
        <v>1.048846676</v>
      </c>
      <c r="F35" s="16">
        <f t="shared" si="5"/>
        <v>1.056921087</v>
      </c>
      <c r="G35" s="16">
        <f t="shared" si="5"/>
        <v>0.9889840881</v>
      </c>
      <c r="H35" s="16">
        <f t="shared" si="5"/>
        <v>0.9839108911</v>
      </c>
      <c r="I35" s="16">
        <f t="shared" si="5"/>
        <v>0.9836477987</v>
      </c>
      <c r="J35" s="16">
        <f t="shared" si="5"/>
        <v>1.02173913</v>
      </c>
      <c r="K35" s="16">
        <f t="shared" si="5"/>
        <v>1.007509387</v>
      </c>
      <c r="L35" s="16">
        <f t="shared" si="5"/>
        <v>1.017391304</v>
      </c>
      <c r="M35" s="16">
        <f t="shared" si="5"/>
        <v>1.018315018</v>
      </c>
      <c r="N35" s="16">
        <f t="shared" si="5"/>
        <v>1.043165468</v>
      </c>
      <c r="O35" s="16">
        <f t="shared" si="5"/>
        <v>0.9942528736</v>
      </c>
      <c r="P35" s="16">
        <f t="shared" si="5"/>
        <v>1.041618497</v>
      </c>
      <c r="Q35" s="16">
        <f t="shared" si="5"/>
        <v>0.9389567148</v>
      </c>
      <c r="R35" s="16">
        <f t="shared" si="5"/>
        <v>1.098108747</v>
      </c>
      <c r="S35" s="16">
        <f t="shared" si="5"/>
        <v>1.082884822</v>
      </c>
      <c r="T35" s="16">
        <f t="shared" si="5"/>
        <v>0.9940357853</v>
      </c>
      <c r="U35" s="16">
        <f t="shared" si="5"/>
        <v>0.929</v>
      </c>
      <c r="V35" s="16">
        <f t="shared" si="5"/>
        <v>0.979547901</v>
      </c>
      <c r="W35" s="16">
        <f t="shared" si="5"/>
        <v>1.050549451</v>
      </c>
      <c r="X35" s="16">
        <f t="shared" si="5"/>
        <v>0.8472803347</v>
      </c>
      <c r="Y35" s="16">
        <f t="shared" si="5"/>
        <v>0.7888888889</v>
      </c>
      <c r="Z35" s="16">
        <f t="shared" si="5"/>
        <v>1.178403756</v>
      </c>
      <c r="AA35" s="16">
        <f t="shared" si="5"/>
        <v>1.156706507</v>
      </c>
      <c r="AB35" s="16">
        <f t="shared" si="5"/>
        <v>0.9586681975</v>
      </c>
      <c r="AC35" s="16">
        <f t="shared" si="5"/>
        <v>1.179640719</v>
      </c>
      <c r="AD35" s="16">
        <f t="shared" si="5"/>
        <v>1.05177665</v>
      </c>
      <c r="AE35" s="16">
        <f t="shared" si="5"/>
        <v>1.125482625</v>
      </c>
      <c r="AF35" s="16">
        <f t="shared" si="5"/>
        <v>1.004288165</v>
      </c>
      <c r="AG35" s="16">
        <f t="shared" si="5"/>
        <v>1.0264731</v>
      </c>
      <c r="AH35" s="16">
        <f t="shared" si="5"/>
        <v>0.9792013311</v>
      </c>
      <c r="AI35" s="16">
        <f t="shared" si="5"/>
        <v>1.069668649</v>
      </c>
      <c r="AJ35" s="16">
        <f t="shared" si="5"/>
        <v>1.0675139</v>
      </c>
      <c r="AK35" s="16">
        <f t="shared" si="5"/>
        <v>0.9709821429</v>
      </c>
      <c r="AL35" s="16">
        <f t="shared" si="5"/>
        <v>0.9402298851</v>
      </c>
      <c r="AM35" s="16">
        <f t="shared" si="5"/>
        <v>0.934800326</v>
      </c>
      <c r="AN35" s="16">
        <f t="shared" si="5"/>
        <v>1.071490846</v>
      </c>
      <c r="AO35" s="16">
        <f t="shared" si="5"/>
        <v>0.9902359642</v>
      </c>
      <c r="AP35" s="16">
        <f t="shared" si="5"/>
        <v>0.9745275267</v>
      </c>
      <c r="AQ35" s="16">
        <f t="shared" si="5"/>
        <v>1.037942664</v>
      </c>
      <c r="AR35" s="16">
        <f t="shared" si="5"/>
        <v>1.057676686</v>
      </c>
      <c r="AS35" s="16">
        <f t="shared" si="5"/>
        <v>0.9961597542</v>
      </c>
      <c r="AT35" s="16">
        <f t="shared" si="5"/>
        <v>1.071703932</v>
      </c>
      <c r="AU35" s="16">
        <f t="shared" si="5"/>
        <v>0.8251798561</v>
      </c>
      <c r="AV35" s="16">
        <f t="shared" si="5"/>
        <v>0.7907585004</v>
      </c>
      <c r="AW35" s="16">
        <f t="shared" si="5"/>
        <v>0.8963616318</v>
      </c>
      <c r="AX35" s="16">
        <f t="shared" si="5"/>
        <v>0.9495694957</v>
      </c>
      <c r="AY35" s="16">
        <f t="shared" si="5"/>
        <v>0.8445595855</v>
      </c>
      <c r="AZ35" s="16">
        <f t="shared" si="5"/>
        <v>1.084355828</v>
      </c>
      <c r="BA35" s="16">
        <f t="shared" si="5"/>
        <v>1.520509194</v>
      </c>
      <c r="BB35" s="16">
        <f t="shared" si="5"/>
        <v>1.08372093</v>
      </c>
      <c r="BC35" s="16">
        <f t="shared" si="5"/>
        <v>1.072961373</v>
      </c>
      <c r="BD35" s="16">
        <f t="shared" si="5"/>
        <v>1.136</v>
      </c>
      <c r="BE35" s="16">
        <f t="shared" si="5"/>
        <v>1.085656175</v>
      </c>
      <c r="BF35" s="16">
        <f t="shared" si="5"/>
        <v>1.057915206</v>
      </c>
      <c r="BG35" s="16">
        <f t="shared" si="5"/>
        <v>1.031140341</v>
      </c>
      <c r="BH35" s="16">
        <f t="shared" si="5"/>
        <v>1.0345623</v>
      </c>
      <c r="BI35" s="16">
        <f t="shared" si="5"/>
        <v>1.055783202</v>
      </c>
      <c r="BJ35" s="16">
        <f t="shared" si="5"/>
        <v>1.053118715</v>
      </c>
      <c r="BK35" s="16">
        <f t="shared" si="5"/>
        <v>1.049878537</v>
      </c>
      <c r="BL35" s="16">
        <f t="shared" si="5"/>
        <v>1.05516714</v>
      </c>
      <c r="BM35" s="16">
        <f t="shared" si="5"/>
        <v>1.026957139</v>
      </c>
      <c r="BN35" s="16">
        <f t="shared" si="5"/>
        <v>1.026714248</v>
      </c>
      <c r="BO35" s="16">
        <f t="shared" si="5"/>
        <v>1.079919525</v>
      </c>
      <c r="BP35" s="16">
        <f t="shared" si="5"/>
        <v>1.049801329</v>
      </c>
      <c r="BQ35" s="16">
        <f t="shared" si="5"/>
        <v>1.06843535</v>
      </c>
      <c r="BR35" s="16">
        <f t="shared" si="5"/>
        <v>1.062335562</v>
      </c>
      <c r="BS35" s="16">
        <f t="shared" si="5"/>
        <v>1.066522008</v>
      </c>
      <c r="BT35" s="16">
        <f t="shared" si="5"/>
        <v>1.048614266</v>
      </c>
      <c r="BU35" s="16">
        <f t="shared" si="5"/>
        <v>1.052518336</v>
      </c>
      <c r="BV35" s="16">
        <f t="shared" si="5"/>
        <v>1.049212313</v>
      </c>
      <c r="BW35" s="16">
        <f t="shared" si="5"/>
        <v>1.04491319</v>
      </c>
      <c r="BX35" s="16">
        <f t="shared" si="5"/>
        <v>1.071094501</v>
      </c>
      <c r="BY35" s="16">
        <f t="shared" si="5"/>
        <v>1.061086776</v>
      </c>
      <c r="BZ35" s="16">
        <f t="shared" si="5"/>
        <v>1.053167529</v>
      </c>
      <c r="CA35" s="16">
        <f t="shared" si="5"/>
        <v>1.045113716</v>
      </c>
      <c r="CB35" s="16">
        <f t="shared" si="5"/>
        <v>1.063445649</v>
      </c>
      <c r="CC35" s="16">
        <f t="shared" si="5"/>
        <v>1.043008407</v>
      </c>
      <c r="CD35" s="16">
        <f t="shared" si="5"/>
        <v>0.9904013267</v>
      </c>
      <c r="CE35" s="16">
        <f t="shared" si="5"/>
        <v>1.043567555</v>
      </c>
      <c r="CF35" s="16">
        <f t="shared" si="5"/>
        <v>1.034642924</v>
      </c>
      <c r="CG35" s="16">
        <f t="shared" si="5"/>
        <v>1.039785495</v>
      </c>
      <c r="CH35" s="16">
        <f t="shared" si="5"/>
        <v>1.035500004</v>
      </c>
      <c r="CI35" s="16">
        <f t="shared" si="5"/>
        <v>1.015788012</v>
      </c>
      <c r="CJ35" s="16">
        <f t="shared" si="5"/>
        <v>1.010690128</v>
      </c>
      <c r="CK35" s="16">
        <f t="shared" si="5"/>
        <v>1.025053614</v>
      </c>
      <c r="CL35" s="16">
        <f t="shared" si="5"/>
        <v>1.012408529</v>
      </c>
      <c r="CM35" s="16">
        <f t="shared" si="5"/>
        <v>1.015137079</v>
      </c>
      <c r="CN35" s="16">
        <f t="shared" si="5"/>
        <v>1.016228217</v>
      </c>
      <c r="CO35" s="16">
        <f t="shared" si="5"/>
        <v>1.023372356</v>
      </c>
      <c r="CP35" s="16">
        <f t="shared" si="5"/>
        <v>1.025619087</v>
      </c>
      <c r="CQ35" s="16">
        <f t="shared" si="5"/>
        <v>1.047431851</v>
      </c>
      <c r="CR35" s="16">
        <f t="shared" si="5"/>
        <v>1.0434382</v>
      </c>
      <c r="CS35" s="16">
        <f t="shared" si="5"/>
        <v>1.029239517</v>
      </c>
      <c r="CT35" s="16">
        <f t="shared" si="5"/>
        <v>1.010481802</v>
      </c>
      <c r="CU35" s="16">
        <f t="shared" si="5"/>
        <v>1.015993465</v>
      </c>
      <c r="CV35" s="16">
        <f t="shared" si="5"/>
        <v>0.9937134115</v>
      </c>
      <c r="CW35" s="16">
        <f t="shared" si="5"/>
        <v>1.023583717</v>
      </c>
      <c r="CX35" s="16">
        <f t="shared" si="5"/>
        <v>1.021066514</v>
      </c>
      <c r="CY35" s="16">
        <f t="shared" si="5"/>
        <v>1.01412996</v>
      </c>
      <c r="CZ35" s="16">
        <f t="shared" si="5"/>
        <v>1.023363294</v>
      </c>
      <c r="DA35" s="16">
        <f t="shared" si="5"/>
        <v>1.035886293</v>
      </c>
      <c r="DB35" s="16">
        <f t="shared" si="5"/>
        <v>1.034213524</v>
      </c>
      <c r="DC35" s="16">
        <f t="shared" si="5"/>
        <v>1.039237125</v>
      </c>
      <c r="DD35" s="16">
        <f t="shared" si="5"/>
        <v>1.019837121</v>
      </c>
      <c r="DE35" s="16">
        <f t="shared" si="5"/>
        <v>1.011355417</v>
      </c>
      <c r="DF35" s="16">
        <f t="shared" si="5"/>
        <v>1.00823123</v>
      </c>
      <c r="DG35" s="16">
        <f t="shared" si="5"/>
        <v>1.028297966</v>
      </c>
      <c r="DH35" s="16">
        <f t="shared" si="5"/>
        <v>1.016631821</v>
      </c>
      <c r="DI35" s="16">
        <f t="shared" si="5"/>
        <v>1.024493454</v>
      </c>
      <c r="DJ35" s="16">
        <f t="shared" si="5"/>
        <v>1.024247398</v>
      </c>
      <c r="DK35" s="16">
        <f t="shared" si="5"/>
        <v>1.002549368</v>
      </c>
      <c r="DL35" s="16">
        <f t="shared" si="5"/>
        <v>0.9712667459</v>
      </c>
      <c r="DM35" s="16">
        <f t="shared" si="5"/>
        <v>1.019494589</v>
      </c>
      <c r="DN35" s="16">
        <f t="shared" si="5"/>
        <v>1.021926797</v>
      </c>
      <c r="DO35" s="16">
        <f t="shared" si="5"/>
        <v>1.003131645</v>
      </c>
      <c r="DP35" s="16">
        <f t="shared" si="5"/>
        <v>1.005763236</v>
      </c>
      <c r="DQ35" s="16">
        <f t="shared" si="5"/>
        <v>1.009561687</v>
      </c>
      <c r="DR35" s="16">
        <f t="shared" si="5"/>
        <v>1.011129123</v>
      </c>
      <c r="DS35" s="16">
        <f t="shared" si="5"/>
        <v>1.010954626</v>
      </c>
      <c r="DT35" s="16">
        <f t="shared" si="5"/>
        <v>1.022914075</v>
      </c>
      <c r="DU35" s="16">
        <f t="shared" si="5"/>
        <v>1.018</v>
      </c>
      <c r="DV35" s="16">
        <f t="shared" si="5"/>
        <v>1.015</v>
      </c>
      <c r="DW35" s="16">
        <f t="shared" si="5"/>
        <v>0.918</v>
      </c>
      <c r="DX35" s="16">
        <f t="shared" si="5"/>
        <v>1.05</v>
      </c>
      <c r="DY35" s="16">
        <f t="shared" si="5"/>
        <v>1.04</v>
      </c>
      <c r="DZ35" s="16">
        <f t="shared" si="5"/>
        <v>1.023</v>
      </c>
      <c r="EA35" s="16">
        <f t="shared" si="5"/>
        <v>1.016</v>
      </c>
      <c r="EB35" s="16">
        <f t="shared" si="5"/>
        <v>1.014</v>
      </c>
      <c r="EC35" s="16">
        <f t="shared" si="5"/>
        <v>1.014</v>
      </c>
      <c r="ED35" s="16">
        <f t="shared" si="5"/>
        <v>1.014</v>
      </c>
      <c r="EE35" s="16">
        <f t="shared" si="5"/>
        <v>1.016</v>
      </c>
      <c r="EF35" s="16">
        <f t="shared" si="5"/>
        <v>1.016</v>
      </c>
      <c r="EG35" s="16">
        <f t="shared" si="5"/>
        <v>1.016</v>
      </c>
      <c r="EH35" s="16">
        <f t="shared" si="5"/>
        <v>1.016</v>
      </c>
      <c r="EI35" s="16">
        <f t="shared" si="5"/>
        <v>1.014</v>
      </c>
      <c r="EJ35" s="16">
        <f t="shared" si="5"/>
        <v>1.014</v>
      </c>
      <c r="EK35" s="16">
        <f t="shared" si="5"/>
        <v>1.014</v>
      </c>
      <c r="EL35" s="16">
        <f t="shared" si="5"/>
        <v>1.014</v>
      </c>
      <c r="EM35" s="16">
        <f t="shared" si="5"/>
        <v>1.014</v>
      </c>
      <c r="EN35" s="16">
        <f t="shared" si="5"/>
        <v>1.014</v>
      </c>
      <c r="EO35" s="16">
        <f t="shared" si="5"/>
        <v>1.014</v>
      </c>
      <c r="EP35" s="16">
        <f t="shared" si="5"/>
        <v>1.014</v>
      </c>
      <c r="EQ35" s="16">
        <f t="shared" si="5"/>
        <v>1.014</v>
      </c>
      <c r="ER35" s="16">
        <f t="shared" si="5"/>
        <v>1.012</v>
      </c>
      <c r="ES35" s="16">
        <f t="shared" si="5"/>
        <v>1.012</v>
      </c>
      <c r="ET35" s="16">
        <f t="shared" si="5"/>
        <v>1.012</v>
      </c>
      <c r="EU35" s="16">
        <f t="shared" si="5"/>
        <v>1.012</v>
      </c>
      <c r="EV35" s="16">
        <f t="shared" si="5"/>
        <v>1.012</v>
      </c>
      <c r="EW35" s="16">
        <f t="shared" si="5"/>
        <v>1.012</v>
      </c>
      <c r="EX35" s="16">
        <f t="shared" si="5"/>
        <v>1.012</v>
      </c>
      <c r="EY35" s="16">
        <f t="shared" si="5"/>
        <v>1.012</v>
      </c>
      <c r="EZ35" s="16">
        <f t="shared" si="5"/>
        <v>1.012</v>
      </c>
      <c r="FA35" s="16">
        <f t="shared" si="5"/>
        <v>1.012</v>
      </c>
      <c r="FB35" s="16">
        <f t="shared" si="5"/>
        <v>1.012</v>
      </c>
      <c r="FC35" s="16">
        <f t="shared" si="5"/>
        <v>1.012</v>
      </c>
      <c r="FD35" s="16">
        <f t="shared" si="5"/>
        <v>1.012</v>
      </c>
      <c r="FE35" s="16">
        <f t="shared" si="5"/>
        <v>1.012</v>
      </c>
      <c r="FF35" s="16">
        <f t="shared" si="5"/>
        <v>1.012</v>
      </c>
      <c r="FG35" s="16">
        <f t="shared" si="5"/>
        <v>1.012</v>
      </c>
      <c r="FH35" s="16">
        <f t="shared" si="5"/>
        <v>1.012</v>
      </c>
      <c r="FI35" s="16">
        <f t="shared" si="5"/>
        <v>1.012</v>
      </c>
      <c r="FJ35" s="16">
        <f t="shared" si="5"/>
        <v>1.012</v>
      </c>
      <c r="FK35" s="16">
        <f t="shared" si="5"/>
        <v>1.012</v>
      </c>
      <c r="FL35" s="16">
        <f t="shared" si="5"/>
        <v>1.012</v>
      </c>
      <c r="FM35" s="16">
        <f t="shared" si="5"/>
        <v>1.012</v>
      </c>
      <c r="FN35" s="16">
        <f t="shared" si="5"/>
        <v>1.012</v>
      </c>
      <c r="FO35" s="16">
        <f t="shared" si="5"/>
        <v>1.012</v>
      </c>
      <c r="FP35" s="16">
        <f t="shared" si="5"/>
        <v>1.012</v>
      </c>
      <c r="FQ35" s="16">
        <f t="shared" si="5"/>
        <v>1.012</v>
      </c>
      <c r="FR35" s="16">
        <f t="shared" si="5"/>
        <v>1.012</v>
      </c>
      <c r="FS35" s="16">
        <f t="shared" si="5"/>
        <v>1.012</v>
      </c>
      <c r="FT35" s="16">
        <f t="shared" si="5"/>
        <v>1.012</v>
      </c>
      <c r="FU35" s="16">
        <f t="shared" si="5"/>
        <v>1.012</v>
      </c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</row>
    <row r="36" ht="14.25" customHeight="1">
      <c r="A36" s="16" t="s">
        <v>25</v>
      </c>
      <c r="B36" s="16">
        <f t="shared" ref="B36:FU36" si="6">B27+1</f>
        <v>0.9793956044</v>
      </c>
      <c r="C36" s="16">
        <f t="shared" si="6"/>
        <v>1.047685835</v>
      </c>
      <c r="D36" s="16">
        <f t="shared" si="6"/>
        <v>0.9866131191</v>
      </c>
      <c r="E36" s="16">
        <f t="shared" si="6"/>
        <v>1.048846676</v>
      </c>
      <c r="F36" s="16">
        <f t="shared" si="6"/>
        <v>1.056921087</v>
      </c>
      <c r="G36" s="16">
        <f t="shared" si="6"/>
        <v>0.9889840881</v>
      </c>
      <c r="H36" s="16">
        <f t="shared" si="6"/>
        <v>0.9839108911</v>
      </c>
      <c r="I36" s="16">
        <f t="shared" si="6"/>
        <v>0.9836477987</v>
      </c>
      <c r="J36" s="16">
        <f t="shared" si="6"/>
        <v>1.02173913</v>
      </c>
      <c r="K36" s="16">
        <f t="shared" si="6"/>
        <v>1.007509387</v>
      </c>
      <c r="L36" s="16">
        <f t="shared" si="6"/>
        <v>1.017391304</v>
      </c>
      <c r="M36" s="16">
        <f t="shared" si="6"/>
        <v>1.018315018</v>
      </c>
      <c r="N36" s="16">
        <f t="shared" si="6"/>
        <v>1.043165468</v>
      </c>
      <c r="O36" s="16">
        <f t="shared" si="6"/>
        <v>0.9942528736</v>
      </c>
      <c r="P36" s="16">
        <f t="shared" si="6"/>
        <v>1.041618497</v>
      </c>
      <c r="Q36" s="16">
        <f t="shared" si="6"/>
        <v>0.9389567148</v>
      </c>
      <c r="R36" s="16">
        <f t="shared" si="6"/>
        <v>1.098108747</v>
      </c>
      <c r="S36" s="16">
        <f t="shared" si="6"/>
        <v>1.082884822</v>
      </c>
      <c r="T36" s="16">
        <f t="shared" si="6"/>
        <v>0.9940357853</v>
      </c>
      <c r="U36" s="16">
        <f t="shared" si="6"/>
        <v>0.929</v>
      </c>
      <c r="V36" s="16">
        <f t="shared" si="6"/>
        <v>0.979547901</v>
      </c>
      <c r="W36" s="16">
        <f t="shared" si="6"/>
        <v>1.050549451</v>
      </c>
      <c r="X36" s="16">
        <f t="shared" si="6"/>
        <v>0.8472803347</v>
      </c>
      <c r="Y36" s="16">
        <f t="shared" si="6"/>
        <v>0.7888888889</v>
      </c>
      <c r="Z36" s="16">
        <f t="shared" si="6"/>
        <v>1.178403756</v>
      </c>
      <c r="AA36" s="16">
        <f t="shared" si="6"/>
        <v>1.156706507</v>
      </c>
      <c r="AB36" s="16">
        <f t="shared" si="6"/>
        <v>0.9586681975</v>
      </c>
      <c r="AC36" s="16">
        <f t="shared" si="6"/>
        <v>1.179640719</v>
      </c>
      <c r="AD36" s="16">
        <f t="shared" si="6"/>
        <v>1.05177665</v>
      </c>
      <c r="AE36" s="16">
        <f t="shared" si="6"/>
        <v>1.125482625</v>
      </c>
      <c r="AF36" s="16">
        <f t="shared" si="6"/>
        <v>1.004288165</v>
      </c>
      <c r="AG36" s="16">
        <f t="shared" si="6"/>
        <v>1.0264731</v>
      </c>
      <c r="AH36" s="16">
        <f t="shared" si="6"/>
        <v>0.9792013311</v>
      </c>
      <c r="AI36" s="16">
        <f t="shared" si="6"/>
        <v>1.069668649</v>
      </c>
      <c r="AJ36" s="16">
        <f t="shared" si="6"/>
        <v>1.0675139</v>
      </c>
      <c r="AK36" s="16">
        <f t="shared" si="6"/>
        <v>0.9709821429</v>
      </c>
      <c r="AL36" s="16">
        <f t="shared" si="6"/>
        <v>0.9402298851</v>
      </c>
      <c r="AM36" s="16">
        <f t="shared" si="6"/>
        <v>0.934800326</v>
      </c>
      <c r="AN36" s="16">
        <f t="shared" si="6"/>
        <v>1.071490846</v>
      </c>
      <c r="AO36" s="16">
        <f t="shared" si="6"/>
        <v>0.9902359642</v>
      </c>
      <c r="AP36" s="16">
        <f t="shared" si="6"/>
        <v>0.9745275267</v>
      </c>
      <c r="AQ36" s="16">
        <f t="shared" si="6"/>
        <v>1.037942664</v>
      </c>
      <c r="AR36" s="16">
        <f t="shared" si="6"/>
        <v>1.057676686</v>
      </c>
      <c r="AS36" s="16">
        <f t="shared" si="6"/>
        <v>0.9961597542</v>
      </c>
      <c r="AT36" s="16">
        <f t="shared" si="6"/>
        <v>1.071703932</v>
      </c>
      <c r="AU36" s="16">
        <f t="shared" si="6"/>
        <v>0.8251798561</v>
      </c>
      <c r="AV36" s="16">
        <f t="shared" si="6"/>
        <v>0.7907585004</v>
      </c>
      <c r="AW36" s="16">
        <f t="shared" si="6"/>
        <v>0.8963616318</v>
      </c>
      <c r="AX36" s="16">
        <f t="shared" si="6"/>
        <v>0.9495694957</v>
      </c>
      <c r="AY36" s="16">
        <f t="shared" si="6"/>
        <v>0.8445595855</v>
      </c>
      <c r="AZ36" s="16">
        <f t="shared" si="6"/>
        <v>1.084355828</v>
      </c>
      <c r="BA36" s="16">
        <f t="shared" si="6"/>
        <v>1.520509194</v>
      </c>
      <c r="BB36" s="16">
        <f t="shared" si="6"/>
        <v>1.08372093</v>
      </c>
      <c r="BC36" s="16">
        <f t="shared" si="6"/>
        <v>1.072961373</v>
      </c>
      <c r="BD36" s="16">
        <f t="shared" si="6"/>
        <v>1.136</v>
      </c>
      <c r="BE36" s="16">
        <f t="shared" si="6"/>
        <v>1.085656175</v>
      </c>
      <c r="BF36" s="16">
        <f t="shared" si="6"/>
        <v>1.057915206</v>
      </c>
      <c r="BG36" s="16">
        <f t="shared" si="6"/>
        <v>1.031140341</v>
      </c>
      <c r="BH36" s="16">
        <f t="shared" si="6"/>
        <v>1.0345623</v>
      </c>
      <c r="BI36" s="16">
        <f t="shared" si="6"/>
        <v>1.055783202</v>
      </c>
      <c r="BJ36" s="16">
        <f t="shared" si="6"/>
        <v>1.053118715</v>
      </c>
      <c r="BK36" s="16">
        <f t="shared" si="6"/>
        <v>1.049878537</v>
      </c>
      <c r="BL36" s="16">
        <f t="shared" si="6"/>
        <v>1.05516714</v>
      </c>
      <c r="BM36" s="16">
        <f t="shared" si="6"/>
        <v>1.026957139</v>
      </c>
      <c r="BN36" s="16">
        <f t="shared" si="6"/>
        <v>1.026714248</v>
      </c>
      <c r="BO36" s="16">
        <f t="shared" si="6"/>
        <v>1.079919525</v>
      </c>
      <c r="BP36" s="16">
        <f t="shared" si="6"/>
        <v>1.049801329</v>
      </c>
      <c r="BQ36" s="16">
        <f t="shared" si="6"/>
        <v>1.06843535</v>
      </c>
      <c r="BR36" s="16">
        <f t="shared" si="6"/>
        <v>1.062335562</v>
      </c>
      <c r="BS36" s="16">
        <f t="shared" si="6"/>
        <v>1.066522008</v>
      </c>
      <c r="BT36" s="16">
        <f t="shared" si="6"/>
        <v>1.048614266</v>
      </c>
      <c r="BU36" s="16">
        <f t="shared" si="6"/>
        <v>1.052518336</v>
      </c>
      <c r="BV36" s="16">
        <f t="shared" si="6"/>
        <v>1.049212313</v>
      </c>
      <c r="BW36" s="16">
        <f t="shared" si="6"/>
        <v>1.04491319</v>
      </c>
      <c r="BX36" s="16">
        <f t="shared" si="6"/>
        <v>1.071094501</v>
      </c>
      <c r="BY36" s="16">
        <f t="shared" si="6"/>
        <v>1.061086776</v>
      </c>
      <c r="BZ36" s="16">
        <f t="shared" si="6"/>
        <v>1.053167529</v>
      </c>
      <c r="CA36" s="16">
        <f t="shared" si="6"/>
        <v>1.045113716</v>
      </c>
      <c r="CB36" s="16">
        <f t="shared" si="6"/>
        <v>1.063445649</v>
      </c>
      <c r="CC36" s="16">
        <f t="shared" si="6"/>
        <v>1.043008407</v>
      </c>
      <c r="CD36" s="16">
        <f t="shared" si="6"/>
        <v>0.9904013267</v>
      </c>
      <c r="CE36" s="16">
        <f t="shared" si="6"/>
        <v>1.043567555</v>
      </c>
      <c r="CF36" s="16">
        <f t="shared" si="6"/>
        <v>1.034642924</v>
      </c>
      <c r="CG36" s="16">
        <f t="shared" si="6"/>
        <v>1.039785495</v>
      </c>
      <c r="CH36" s="16">
        <f t="shared" si="6"/>
        <v>1.035500004</v>
      </c>
      <c r="CI36" s="16">
        <f t="shared" si="6"/>
        <v>1.015788012</v>
      </c>
      <c r="CJ36" s="16">
        <f t="shared" si="6"/>
        <v>1.010690128</v>
      </c>
      <c r="CK36" s="16">
        <f t="shared" si="6"/>
        <v>1.025053614</v>
      </c>
      <c r="CL36" s="16">
        <f t="shared" si="6"/>
        <v>1.012408529</v>
      </c>
      <c r="CM36" s="16">
        <f t="shared" si="6"/>
        <v>1.015137079</v>
      </c>
      <c r="CN36" s="16">
        <f t="shared" si="6"/>
        <v>1.016228217</v>
      </c>
      <c r="CO36" s="16">
        <f t="shared" si="6"/>
        <v>1.023372356</v>
      </c>
      <c r="CP36" s="16">
        <f t="shared" si="6"/>
        <v>1.025619087</v>
      </c>
      <c r="CQ36" s="16">
        <f t="shared" si="6"/>
        <v>1.047431851</v>
      </c>
      <c r="CR36" s="16">
        <f t="shared" si="6"/>
        <v>1.0434382</v>
      </c>
      <c r="CS36" s="16">
        <f t="shared" si="6"/>
        <v>1.029239517</v>
      </c>
      <c r="CT36" s="16">
        <f t="shared" si="6"/>
        <v>1.010481802</v>
      </c>
      <c r="CU36" s="16">
        <f t="shared" si="6"/>
        <v>1.015993465</v>
      </c>
      <c r="CV36" s="16">
        <f t="shared" si="6"/>
        <v>0.9937134115</v>
      </c>
      <c r="CW36" s="16">
        <f t="shared" si="6"/>
        <v>1.023583717</v>
      </c>
      <c r="CX36" s="16">
        <f t="shared" si="6"/>
        <v>1.021066514</v>
      </c>
      <c r="CY36" s="16">
        <f t="shared" si="6"/>
        <v>1.01412996</v>
      </c>
      <c r="CZ36" s="16">
        <f t="shared" si="6"/>
        <v>1.023363294</v>
      </c>
      <c r="DA36" s="16">
        <f t="shared" si="6"/>
        <v>1.035886293</v>
      </c>
      <c r="DB36" s="16">
        <f t="shared" si="6"/>
        <v>1.034213524</v>
      </c>
      <c r="DC36" s="16">
        <f t="shared" si="6"/>
        <v>1.039237125</v>
      </c>
      <c r="DD36" s="16">
        <f t="shared" si="6"/>
        <v>1.019837121</v>
      </c>
      <c r="DE36" s="16">
        <f t="shared" si="6"/>
        <v>1.011355417</v>
      </c>
      <c r="DF36" s="16">
        <f t="shared" si="6"/>
        <v>1.00823123</v>
      </c>
      <c r="DG36" s="16">
        <f t="shared" si="6"/>
        <v>1.028297966</v>
      </c>
      <c r="DH36" s="16">
        <f t="shared" si="6"/>
        <v>1.016631821</v>
      </c>
      <c r="DI36" s="16">
        <f t="shared" si="6"/>
        <v>1.024493454</v>
      </c>
      <c r="DJ36" s="16">
        <f t="shared" si="6"/>
        <v>1.024247398</v>
      </c>
      <c r="DK36" s="16">
        <f t="shared" si="6"/>
        <v>1.002549368</v>
      </c>
      <c r="DL36" s="16">
        <f t="shared" si="6"/>
        <v>0.9712667459</v>
      </c>
      <c r="DM36" s="16">
        <f t="shared" si="6"/>
        <v>1.019494589</v>
      </c>
      <c r="DN36" s="16">
        <f t="shared" si="6"/>
        <v>1.021926797</v>
      </c>
      <c r="DO36" s="16">
        <f t="shared" si="6"/>
        <v>1.003131645</v>
      </c>
      <c r="DP36" s="16">
        <f t="shared" si="6"/>
        <v>1.005763236</v>
      </c>
      <c r="DQ36" s="16">
        <f t="shared" si="6"/>
        <v>1.009561687</v>
      </c>
      <c r="DR36" s="16">
        <f t="shared" si="6"/>
        <v>1.011129123</v>
      </c>
      <c r="DS36" s="16">
        <f t="shared" si="6"/>
        <v>1.010954626</v>
      </c>
      <c r="DT36" s="16">
        <f t="shared" si="6"/>
        <v>1.022914075</v>
      </c>
      <c r="DU36" s="16">
        <f t="shared" si="6"/>
        <v>1.018</v>
      </c>
      <c r="DV36" s="16">
        <f t="shared" si="6"/>
        <v>1.015</v>
      </c>
      <c r="DW36" s="16">
        <f t="shared" si="6"/>
        <v>0.918</v>
      </c>
      <c r="DX36" s="16">
        <f t="shared" si="6"/>
        <v>1.05</v>
      </c>
      <c r="DY36" s="16">
        <f t="shared" si="6"/>
        <v>1.04</v>
      </c>
      <c r="DZ36" s="16">
        <f t="shared" si="6"/>
        <v>1.023</v>
      </c>
      <c r="EA36" s="16">
        <f t="shared" si="6"/>
        <v>1.016</v>
      </c>
      <c r="EB36" s="16">
        <f t="shared" si="6"/>
        <v>1.014</v>
      </c>
      <c r="EC36" s="16">
        <f t="shared" si="6"/>
        <v>1.014</v>
      </c>
      <c r="ED36" s="16">
        <f t="shared" si="6"/>
        <v>1.014</v>
      </c>
      <c r="EE36" s="16">
        <f t="shared" si="6"/>
        <v>1.016</v>
      </c>
      <c r="EF36" s="16">
        <f t="shared" si="6"/>
        <v>1.016</v>
      </c>
      <c r="EG36" s="16">
        <f t="shared" si="6"/>
        <v>1.016</v>
      </c>
      <c r="EH36" s="16">
        <f t="shared" si="6"/>
        <v>1.016</v>
      </c>
      <c r="EI36" s="16">
        <f t="shared" si="6"/>
        <v>1.011</v>
      </c>
      <c r="EJ36" s="16">
        <f t="shared" si="6"/>
        <v>1.011</v>
      </c>
      <c r="EK36" s="16">
        <f t="shared" si="6"/>
        <v>1.011</v>
      </c>
      <c r="EL36" s="16">
        <f t="shared" si="6"/>
        <v>1.011</v>
      </c>
      <c r="EM36" s="16">
        <f t="shared" si="6"/>
        <v>1.011</v>
      </c>
      <c r="EN36" s="16">
        <f t="shared" si="6"/>
        <v>1.011</v>
      </c>
      <c r="EO36" s="16">
        <f t="shared" si="6"/>
        <v>1.011</v>
      </c>
      <c r="EP36" s="16">
        <f t="shared" si="6"/>
        <v>1.011</v>
      </c>
      <c r="EQ36" s="16">
        <f t="shared" si="6"/>
        <v>1.011</v>
      </c>
      <c r="ER36" s="16">
        <f t="shared" si="6"/>
        <v>1.009</v>
      </c>
      <c r="ES36" s="16">
        <f t="shared" si="6"/>
        <v>1.009</v>
      </c>
      <c r="ET36" s="16">
        <f t="shared" si="6"/>
        <v>1.009</v>
      </c>
      <c r="EU36" s="16">
        <f t="shared" si="6"/>
        <v>1.009</v>
      </c>
      <c r="EV36" s="16">
        <f t="shared" si="6"/>
        <v>1.009</v>
      </c>
      <c r="EW36" s="16">
        <f t="shared" si="6"/>
        <v>1.009</v>
      </c>
      <c r="EX36" s="16">
        <f t="shared" si="6"/>
        <v>1.009</v>
      </c>
      <c r="EY36" s="16">
        <f t="shared" si="6"/>
        <v>1.009</v>
      </c>
      <c r="EZ36" s="16">
        <f t="shared" si="6"/>
        <v>1.009</v>
      </c>
      <c r="FA36" s="16">
        <f t="shared" si="6"/>
        <v>1.009</v>
      </c>
      <c r="FB36" s="16">
        <f t="shared" si="6"/>
        <v>1.009</v>
      </c>
      <c r="FC36" s="16">
        <f t="shared" si="6"/>
        <v>1.009</v>
      </c>
      <c r="FD36" s="16">
        <f t="shared" si="6"/>
        <v>1.009</v>
      </c>
      <c r="FE36" s="16">
        <f t="shared" si="6"/>
        <v>1.009</v>
      </c>
      <c r="FF36" s="16">
        <f t="shared" si="6"/>
        <v>1.009</v>
      </c>
      <c r="FG36" s="16">
        <f t="shared" si="6"/>
        <v>1.009</v>
      </c>
      <c r="FH36" s="16">
        <f t="shared" si="6"/>
        <v>1.009</v>
      </c>
      <c r="FI36" s="16">
        <f t="shared" si="6"/>
        <v>1.009</v>
      </c>
      <c r="FJ36" s="16">
        <f t="shared" si="6"/>
        <v>1.009</v>
      </c>
      <c r="FK36" s="16">
        <f t="shared" si="6"/>
        <v>1.009</v>
      </c>
      <c r="FL36" s="16">
        <f t="shared" si="6"/>
        <v>1.009</v>
      </c>
      <c r="FM36" s="16">
        <f t="shared" si="6"/>
        <v>1.009</v>
      </c>
      <c r="FN36" s="16">
        <f t="shared" si="6"/>
        <v>1.009</v>
      </c>
      <c r="FO36" s="16">
        <f t="shared" si="6"/>
        <v>1.009</v>
      </c>
      <c r="FP36" s="16">
        <f t="shared" si="6"/>
        <v>1.009</v>
      </c>
      <c r="FQ36" s="16">
        <f t="shared" si="6"/>
        <v>1.009</v>
      </c>
      <c r="FR36" s="16">
        <f t="shared" si="6"/>
        <v>1.009</v>
      </c>
      <c r="FS36" s="16">
        <f t="shared" si="6"/>
        <v>1.009</v>
      </c>
      <c r="FT36" s="16">
        <f t="shared" si="6"/>
        <v>1.009</v>
      </c>
      <c r="FU36" s="16">
        <f t="shared" si="6"/>
        <v>1.009</v>
      </c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</row>
    <row r="37" ht="14.25" customHeight="1"/>
    <row r="38" ht="14.25" customHeight="1"/>
    <row r="39" ht="14.25" customHeight="1">
      <c r="A39" s="4" t="s">
        <v>0</v>
      </c>
      <c r="B39" s="1">
        <v>1895.0</v>
      </c>
      <c r="C39" s="1">
        <v>1900.0</v>
      </c>
      <c r="D39" s="1">
        <v>1905.0</v>
      </c>
      <c r="E39" s="1">
        <v>1910.0</v>
      </c>
      <c r="F39" s="1">
        <v>1915.0</v>
      </c>
      <c r="G39" s="1">
        <v>1920.0</v>
      </c>
      <c r="H39" s="1">
        <v>1925.0</v>
      </c>
      <c r="I39" s="1">
        <v>1930.0</v>
      </c>
      <c r="J39" s="1">
        <v>1935.0</v>
      </c>
      <c r="K39" s="1">
        <v>1940.0</v>
      </c>
      <c r="L39" s="1">
        <v>1945.0</v>
      </c>
      <c r="M39" s="1">
        <v>1950.0</v>
      </c>
      <c r="N39" s="1">
        <v>1955.0</v>
      </c>
      <c r="O39" s="1">
        <v>1960.0</v>
      </c>
      <c r="P39" s="1">
        <v>1965.0</v>
      </c>
      <c r="Q39" s="1">
        <v>1970.0</v>
      </c>
      <c r="R39" s="1">
        <v>1975.0</v>
      </c>
      <c r="S39" s="1">
        <v>1980.0</v>
      </c>
      <c r="T39" s="1">
        <v>1985.0</v>
      </c>
      <c r="U39" s="1">
        <v>1990.0</v>
      </c>
      <c r="V39" s="1">
        <v>1995.0</v>
      </c>
      <c r="W39" s="1">
        <v>2000.0</v>
      </c>
      <c r="X39" s="1">
        <v>2005.0</v>
      </c>
      <c r="Y39" s="1">
        <v>2010.0</v>
      </c>
      <c r="Z39" s="1">
        <v>2015.0</v>
      </c>
      <c r="AA39" s="1">
        <v>2020.0</v>
      </c>
      <c r="AB39" s="1">
        <v>2025.0</v>
      </c>
      <c r="AC39" s="1">
        <v>2030.0</v>
      </c>
      <c r="AD39" s="1">
        <v>2035.0</v>
      </c>
      <c r="AE39" s="1">
        <v>2040.0</v>
      </c>
      <c r="AF39" s="1">
        <v>2045.0</v>
      </c>
      <c r="AG39" s="1">
        <v>2050.0</v>
      </c>
      <c r="AH39" s="1">
        <v>2055.0</v>
      </c>
      <c r="AI39" s="1">
        <v>2060.0</v>
      </c>
      <c r="AJ39" s="1">
        <v>2065.0</v>
      </c>
      <c r="AK39" s="1">
        <v>2070.0</v>
      </c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</row>
    <row r="40" ht="14.25" customHeight="1">
      <c r="A40" s="4" t="s">
        <v>21</v>
      </c>
      <c r="B40" s="17">
        <f t="shared" ref="B40:B44" si="7">PRODUCT(B32:F32)</f>
        <v>1.122252747</v>
      </c>
      <c r="C40" s="4">
        <f t="shared" ref="C40:C44" si="8">PRODUCT(G32:K32)</f>
        <v>0.9853121175</v>
      </c>
      <c r="D40" s="4">
        <f t="shared" ref="D40:D44" si="9">PRODUCT(L32:P32)</f>
        <v>1.119254658</v>
      </c>
      <c r="E40" s="4">
        <f t="shared" ref="E40:E44" si="10">PRODUCT(Q32:U32)</f>
        <v>1.031076582</v>
      </c>
      <c r="F40" s="4">
        <f t="shared" ref="F40:F44" si="11">PRODUCT(V32:Z32)</f>
        <v>0.8105489774</v>
      </c>
      <c r="G40" s="4">
        <f t="shared" ref="G40:G44" si="12">PRODUCT(AA32:AE32)</f>
        <v>1.548472776</v>
      </c>
      <c r="H40" s="4">
        <f t="shared" ref="H40:H44" si="13">PRODUCT(AF32:AJ32)</f>
        <v>1.152658662</v>
      </c>
      <c r="I40" s="4">
        <f t="shared" ref="I40:I44" si="14">PRODUCT(AK32:AO32)</f>
        <v>0.9055059524</v>
      </c>
      <c r="J40" s="4">
        <f t="shared" ref="J40:J44" si="15">PRODUCT(AP32:AT32)</f>
        <v>1.142152835</v>
      </c>
      <c r="K40" s="4">
        <f t="shared" ref="K40:K44" si="16">PRODUCT(AU32:AY32)</f>
        <v>0.4690647482</v>
      </c>
      <c r="L40" s="4">
        <f t="shared" ref="L40:L44" si="17">PRODUCT(AZ32:BD32)</f>
        <v>2.17791411</v>
      </c>
      <c r="M40" s="4">
        <f t="shared" ref="M40:M44" si="18">PRODUCT(BE32:BI32)</f>
        <v>1.293577164</v>
      </c>
      <c r="N40" s="4">
        <f t="shared" ref="N40:N44" si="19">PRODUCT(BJ32:BN32)</f>
        <v>1.230097549</v>
      </c>
      <c r="O40" s="4">
        <f t="shared" ref="O40:O44" si="20">PRODUCT(BO32:BS32)</f>
        <v>1.372392391</v>
      </c>
      <c r="P40" s="4">
        <f t="shared" ref="P40:P44" si="21">PRODUCT(BT32:BX32)</f>
        <v>1.296035244</v>
      </c>
      <c r="Q40" s="4">
        <f t="shared" ref="Q40:Q44" si="22">PRODUCT(BY32:CC32)</f>
        <v>1.295433184</v>
      </c>
      <c r="R40" s="4">
        <f t="shared" ref="R40:R44" si="23">PRODUCT(CD32:CH32)</f>
        <v>1.151373244</v>
      </c>
      <c r="S40" s="4">
        <f t="shared" ref="S40:S44" si="24">PRODUCT(CI32:CM32)</f>
        <v>1.081553916</v>
      </c>
      <c r="T40" s="4">
        <f t="shared" ref="T40:T44" si="25">PRODUCT(CN32:CR32)</f>
        <v>1.165744924</v>
      </c>
      <c r="U40" s="4">
        <f t="shared" ref="U40:U44" si="26">PRODUCT(CS32:CW32)</f>
        <v>1.074781998</v>
      </c>
      <c r="V40" s="4">
        <f t="shared" ref="V40:V44" si="27">PRODUCT(CX32:DB32)</f>
        <v>1.13527162</v>
      </c>
      <c r="W40" s="4">
        <f t="shared" ref="W40:W44" si="28">PRODUCT(DC32:DG32)</f>
        <v>1.111292532</v>
      </c>
      <c r="X40" s="4">
        <f t="shared" ref="X40:X44" si="29">PRODUCT(DH32:DL32)</f>
        <v>1.038776326</v>
      </c>
      <c r="Y40" s="4">
        <f t="shared" ref="Y40:Y44" si="30">PRODUCT(DM32:DQ32)</f>
        <v>1.061185386</v>
      </c>
      <c r="Z40" s="4">
        <f t="shared" ref="Z40:Z44" si="31">PRODUCT(DR32:DV32)</f>
        <v>1.080416624</v>
      </c>
      <c r="AA40" s="4">
        <f t="shared" ref="AA40:AA44" si="32">PRODUCT(DW32:EA32)</f>
        <v>1.041920688</v>
      </c>
      <c r="AB40" s="4">
        <f t="shared" ref="AB40:AB44" si="33">PRODUCT(EB32:EF32)</f>
        <v>1.042590744</v>
      </c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</row>
    <row r="41" ht="14.25" customHeight="1">
      <c r="A41" s="4" t="s">
        <v>22</v>
      </c>
      <c r="B41" s="17">
        <f t="shared" si="7"/>
        <v>1.122252747</v>
      </c>
      <c r="C41" s="4">
        <f t="shared" si="8"/>
        <v>0.9853121175</v>
      </c>
      <c r="D41" s="4">
        <f t="shared" si="9"/>
        <v>1.119254658</v>
      </c>
      <c r="E41" s="4">
        <f t="shared" si="10"/>
        <v>1.031076582</v>
      </c>
      <c r="F41" s="4">
        <f t="shared" si="11"/>
        <v>0.8105489774</v>
      </c>
      <c r="G41" s="4">
        <f t="shared" si="12"/>
        <v>1.548472776</v>
      </c>
      <c r="H41" s="4">
        <f t="shared" si="13"/>
        <v>1.152658662</v>
      </c>
      <c r="I41" s="4">
        <f t="shared" si="14"/>
        <v>0.9055059524</v>
      </c>
      <c r="J41" s="4">
        <f t="shared" si="15"/>
        <v>1.142152835</v>
      </c>
      <c r="K41" s="4">
        <f t="shared" si="16"/>
        <v>0.4690647482</v>
      </c>
      <c r="L41" s="4">
        <f t="shared" si="17"/>
        <v>2.17791411</v>
      </c>
      <c r="M41" s="4">
        <f t="shared" si="18"/>
        <v>1.293577164</v>
      </c>
      <c r="N41" s="4">
        <f t="shared" si="19"/>
        <v>1.230097549</v>
      </c>
      <c r="O41" s="4">
        <f t="shared" si="20"/>
        <v>1.372392391</v>
      </c>
      <c r="P41" s="4">
        <f t="shared" si="21"/>
        <v>1.296035244</v>
      </c>
      <c r="Q41" s="4">
        <f t="shared" si="22"/>
        <v>1.295433184</v>
      </c>
      <c r="R41" s="4">
        <f t="shared" si="23"/>
        <v>1.151373244</v>
      </c>
      <c r="S41" s="4">
        <f t="shared" si="24"/>
        <v>1.081553916</v>
      </c>
      <c r="T41" s="4">
        <f t="shared" si="25"/>
        <v>1.165744924</v>
      </c>
      <c r="U41" s="4">
        <f t="shared" si="26"/>
        <v>1.074781998</v>
      </c>
      <c r="V41" s="4">
        <f t="shared" si="27"/>
        <v>1.13527162</v>
      </c>
      <c r="W41" s="4">
        <f t="shared" si="28"/>
        <v>1.111292532</v>
      </c>
      <c r="X41" s="4">
        <f t="shared" si="29"/>
        <v>1.038776326</v>
      </c>
      <c r="Y41" s="4">
        <f t="shared" si="30"/>
        <v>1.061185386</v>
      </c>
      <c r="Z41" s="4">
        <f t="shared" si="31"/>
        <v>1.080416624</v>
      </c>
      <c r="AA41" s="4">
        <f t="shared" si="32"/>
        <v>1.041920688</v>
      </c>
      <c r="AB41" s="4">
        <f t="shared" si="33"/>
        <v>1.078340138</v>
      </c>
      <c r="AC41" s="4">
        <f t="shared" ref="AC41:AC44" si="34">PRODUCT(EG33:EK33)</f>
        <v>1.094370702</v>
      </c>
      <c r="AD41" s="4">
        <f t="shared" ref="AD41:AD44" si="35">PRODUCT(EL33:EP33)</f>
        <v>1.098679244</v>
      </c>
      <c r="AE41" s="4">
        <f t="shared" ref="AE41:AE44" si="36">PRODUCT(EQ33:EU33)</f>
        <v>1.090079056</v>
      </c>
      <c r="AF41" s="4">
        <f t="shared" ref="AF41:AF44" si="37">PRODUCT(EV33:EZ33)</f>
        <v>1.087939549</v>
      </c>
      <c r="AG41" s="4">
        <f t="shared" ref="AG41:AG44" si="38">PRODUCT(FA33:FE33)</f>
        <v>1.087939549</v>
      </c>
      <c r="AH41" s="4">
        <f t="shared" ref="AH41:AH44" si="39">PRODUCT(FF33:FJ33)</f>
        <v>1.087939549</v>
      </c>
      <c r="AI41" s="4">
        <f t="shared" ref="AI41:AI44" si="40">PRODUCT(FK33:FO33)</f>
        <v>1.087939549</v>
      </c>
      <c r="AJ41" s="4">
        <f t="shared" ref="AJ41:AJ44" si="41">PRODUCT(FP33:FT33)</f>
        <v>1.087939549</v>
      </c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</row>
    <row r="42" ht="14.25" customHeight="1">
      <c r="A42" s="4" t="s">
        <v>23</v>
      </c>
      <c r="B42" s="17">
        <f t="shared" si="7"/>
        <v>1.122252747</v>
      </c>
      <c r="C42" s="4">
        <f t="shared" si="8"/>
        <v>0.9853121175</v>
      </c>
      <c r="D42" s="4">
        <f t="shared" si="9"/>
        <v>1.119254658</v>
      </c>
      <c r="E42" s="4">
        <f t="shared" si="10"/>
        <v>1.031076582</v>
      </c>
      <c r="F42" s="4">
        <f t="shared" si="11"/>
        <v>0.8105489774</v>
      </c>
      <c r="G42" s="4">
        <f t="shared" si="12"/>
        <v>1.548472776</v>
      </c>
      <c r="H42" s="4">
        <f t="shared" si="13"/>
        <v>1.152658662</v>
      </c>
      <c r="I42" s="4">
        <f t="shared" si="14"/>
        <v>0.9055059524</v>
      </c>
      <c r="J42" s="4">
        <f t="shared" si="15"/>
        <v>1.142152835</v>
      </c>
      <c r="K42" s="4">
        <f t="shared" si="16"/>
        <v>0.4690647482</v>
      </c>
      <c r="L42" s="4">
        <f t="shared" si="17"/>
        <v>2.17791411</v>
      </c>
      <c r="M42" s="4">
        <f t="shared" si="18"/>
        <v>1.293577164</v>
      </c>
      <c r="N42" s="4">
        <f t="shared" si="19"/>
        <v>1.230097549</v>
      </c>
      <c r="O42" s="4">
        <f t="shared" si="20"/>
        <v>1.372392391</v>
      </c>
      <c r="P42" s="4">
        <f t="shared" si="21"/>
        <v>1.296035244</v>
      </c>
      <c r="Q42" s="4">
        <f t="shared" si="22"/>
        <v>1.295433184</v>
      </c>
      <c r="R42" s="4">
        <f t="shared" si="23"/>
        <v>1.151373244</v>
      </c>
      <c r="S42" s="4">
        <f t="shared" si="24"/>
        <v>1.081553916</v>
      </c>
      <c r="T42" s="4">
        <f t="shared" si="25"/>
        <v>1.165744924</v>
      </c>
      <c r="U42" s="4">
        <f t="shared" si="26"/>
        <v>1.074781998</v>
      </c>
      <c r="V42" s="4">
        <f t="shared" si="27"/>
        <v>1.13527162</v>
      </c>
      <c r="W42" s="4">
        <f t="shared" si="28"/>
        <v>1.111292532</v>
      </c>
      <c r="X42" s="4">
        <f t="shared" si="29"/>
        <v>1.038776326</v>
      </c>
      <c r="Y42" s="4">
        <f t="shared" si="30"/>
        <v>1.061185386</v>
      </c>
      <c r="Z42" s="4">
        <f t="shared" si="31"/>
        <v>1.080416624</v>
      </c>
      <c r="AA42" s="4">
        <f t="shared" si="32"/>
        <v>1.041920688</v>
      </c>
      <c r="AB42" s="4">
        <f t="shared" si="33"/>
        <v>1.078340138</v>
      </c>
      <c r="AC42" s="4">
        <f t="shared" si="34"/>
        <v>1.084733442</v>
      </c>
      <c r="AD42" s="4">
        <f t="shared" si="35"/>
        <v>1.082601289</v>
      </c>
      <c r="AE42" s="4">
        <f t="shared" si="36"/>
        <v>1.074102007</v>
      </c>
      <c r="AF42" s="4">
        <f t="shared" si="37"/>
        <v>1.071987633</v>
      </c>
      <c r="AG42" s="4">
        <f t="shared" si="38"/>
        <v>1.071987633</v>
      </c>
      <c r="AH42" s="4">
        <f t="shared" si="39"/>
        <v>1.071987633</v>
      </c>
      <c r="AI42" s="4">
        <f t="shared" si="40"/>
        <v>1.071987633</v>
      </c>
      <c r="AJ42" s="4">
        <f t="shared" si="41"/>
        <v>1.071987633</v>
      </c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</row>
    <row r="43" ht="14.25" customHeight="1">
      <c r="A43" s="4" t="s">
        <v>24</v>
      </c>
      <c r="B43" s="17">
        <f t="shared" si="7"/>
        <v>1.122252747</v>
      </c>
      <c r="C43" s="4">
        <f t="shared" si="8"/>
        <v>0.9853121175</v>
      </c>
      <c r="D43" s="4">
        <f t="shared" si="9"/>
        <v>1.119254658</v>
      </c>
      <c r="E43" s="4">
        <f t="shared" si="10"/>
        <v>1.031076582</v>
      </c>
      <c r="F43" s="4">
        <f t="shared" si="11"/>
        <v>0.8105489774</v>
      </c>
      <c r="G43" s="4">
        <f t="shared" si="12"/>
        <v>1.548472776</v>
      </c>
      <c r="H43" s="4">
        <f t="shared" si="13"/>
        <v>1.152658662</v>
      </c>
      <c r="I43" s="4">
        <f t="shared" si="14"/>
        <v>0.9055059524</v>
      </c>
      <c r="J43" s="4">
        <f t="shared" si="15"/>
        <v>1.142152835</v>
      </c>
      <c r="K43" s="4">
        <f t="shared" si="16"/>
        <v>0.4690647482</v>
      </c>
      <c r="L43" s="4">
        <f t="shared" si="17"/>
        <v>2.17791411</v>
      </c>
      <c r="M43" s="4">
        <f t="shared" si="18"/>
        <v>1.293577164</v>
      </c>
      <c r="N43" s="4">
        <f t="shared" si="19"/>
        <v>1.230097549</v>
      </c>
      <c r="O43" s="4">
        <f t="shared" si="20"/>
        <v>1.372392391</v>
      </c>
      <c r="P43" s="4">
        <f t="shared" si="21"/>
        <v>1.296035244</v>
      </c>
      <c r="Q43" s="4">
        <f t="shared" si="22"/>
        <v>1.295433184</v>
      </c>
      <c r="R43" s="4">
        <f t="shared" si="23"/>
        <v>1.151373244</v>
      </c>
      <c r="S43" s="4">
        <f t="shared" si="24"/>
        <v>1.081553916</v>
      </c>
      <c r="T43" s="4">
        <f t="shared" si="25"/>
        <v>1.165744924</v>
      </c>
      <c r="U43" s="4">
        <f t="shared" si="26"/>
        <v>1.074781998</v>
      </c>
      <c r="V43" s="4">
        <f t="shared" si="27"/>
        <v>1.13527162</v>
      </c>
      <c r="W43" s="4">
        <f t="shared" si="28"/>
        <v>1.111292532</v>
      </c>
      <c r="X43" s="4">
        <f t="shared" si="29"/>
        <v>1.038776326</v>
      </c>
      <c r="Y43" s="4">
        <f t="shared" si="30"/>
        <v>1.061185386</v>
      </c>
      <c r="Z43" s="4">
        <f t="shared" si="31"/>
        <v>1.080416624</v>
      </c>
      <c r="AA43" s="4">
        <f t="shared" si="32"/>
        <v>1.041920688</v>
      </c>
      <c r="AB43" s="4">
        <f t="shared" si="33"/>
        <v>1.076220551</v>
      </c>
      <c r="AC43" s="4">
        <f t="shared" si="34"/>
        <v>1.076220551</v>
      </c>
      <c r="AD43" s="4">
        <f t="shared" si="35"/>
        <v>1.071987633</v>
      </c>
      <c r="AE43" s="4">
        <f t="shared" si="36"/>
        <v>1.063555126</v>
      </c>
      <c r="AF43" s="4">
        <f t="shared" si="37"/>
        <v>1.061457384</v>
      </c>
      <c r="AG43" s="4">
        <f t="shared" si="38"/>
        <v>1.061457384</v>
      </c>
      <c r="AH43" s="4">
        <f t="shared" si="39"/>
        <v>1.061457384</v>
      </c>
      <c r="AI43" s="4">
        <f t="shared" si="40"/>
        <v>1.061457384</v>
      </c>
      <c r="AJ43" s="4">
        <f t="shared" si="41"/>
        <v>1.061457384</v>
      </c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</row>
    <row r="44" ht="14.25" customHeight="1">
      <c r="A44" s="4" t="s">
        <v>25</v>
      </c>
      <c r="B44" s="17">
        <f t="shared" si="7"/>
        <v>1.122252747</v>
      </c>
      <c r="C44" s="4">
        <f t="shared" si="8"/>
        <v>0.9853121175</v>
      </c>
      <c r="D44" s="4">
        <f t="shared" si="9"/>
        <v>1.119254658</v>
      </c>
      <c r="E44" s="4">
        <f t="shared" si="10"/>
        <v>1.031076582</v>
      </c>
      <c r="F44" s="4">
        <f t="shared" si="11"/>
        <v>0.8105489774</v>
      </c>
      <c r="G44" s="4">
        <f t="shared" si="12"/>
        <v>1.548472776</v>
      </c>
      <c r="H44" s="4">
        <f t="shared" si="13"/>
        <v>1.152658662</v>
      </c>
      <c r="I44" s="4">
        <f t="shared" si="14"/>
        <v>0.9055059524</v>
      </c>
      <c r="J44" s="4">
        <f t="shared" si="15"/>
        <v>1.142152835</v>
      </c>
      <c r="K44" s="4">
        <f t="shared" si="16"/>
        <v>0.4690647482</v>
      </c>
      <c r="L44" s="4">
        <f t="shared" si="17"/>
        <v>2.17791411</v>
      </c>
      <c r="M44" s="4">
        <f t="shared" si="18"/>
        <v>1.293577164</v>
      </c>
      <c r="N44" s="4">
        <f t="shared" si="19"/>
        <v>1.230097549</v>
      </c>
      <c r="O44" s="4">
        <f t="shared" si="20"/>
        <v>1.372392391</v>
      </c>
      <c r="P44" s="4">
        <f t="shared" si="21"/>
        <v>1.296035244</v>
      </c>
      <c r="Q44" s="4">
        <f t="shared" si="22"/>
        <v>1.295433184</v>
      </c>
      <c r="R44" s="4">
        <f t="shared" si="23"/>
        <v>1.151373244</v>
      </c>
      <c r="S44" s="4">
        <f t="shared" si="24"/>
        <v>1.081553916</v>
      </c>
      <c r="T44" s="4">
        <f t="shared" si="25"/>
        <v>1.165744924</v>
      </c>
      <c r="U44" s="4">
        <f t="shared" si="26"/>
        <v>1.074781998</v>
      </c>
      <c r="V44" s="4">
        <f t="shared" si="27"/>
        <v>1.13527162</v>
      </c>
      <c r="W44" s="4">
        <f t="shared" si="28"/>
        <v>1.111292532</v>
      </c>
      <c r="X44" s="4">
        <f t="shared" si="29"/>
        <v>1.038776326</v>
      </c>
      <c r="Y44" s="4">
        <f t="shared" si="30"/>
        <v>1.061185386</v>
      </c>
      <c r="Z44" s="4">
        <f t="shared" si="31"/>
        <v>1.080416624</v>
      </c>
      <c r="AA44" s="4">
        <f t="shared" si="32"/>
        <v>1.041920688</v>
      </c>
      <c r="AB44" s="4">
        <f t="shared" si="33"/>
        <v>1.076220551</v>
      </c>
      <c r="AC44" s="4">
        <f t="shared" si="34"/>
        <v>1.066696531</v>
      </c>
      <c r="AD44" s="4">
        <f t="shared" si="35"/>
        <v>1.056223383</v>
      </c>
      <c r="AE44" s="4">
        <f t="shared" si="36"/>
        <v>1.047890301</v>
      </c>
      <c r="AF44" s="4">
        <f t="shared" si="37"/>
        <v>1.045817323</v>
      </c>
      <c r="AG44" s="4">
        <f t="shared" si="38"/>
        <v>1.045817323</v>
      </c>
      <c r="AH44" s="4">
        <f t="shared" si="39"/>
        <v>1.045817323</v>
      </c>
      <c r="AI44" s="4">
        <f t="shared" si="40"/>
        <v>1.045817323</v>
      </c>
      <c r="AJ44" s="4">
        <f t="shared" si="41"/>
        <v>1.045817323</v>
      </c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</row>
    <row r="45" ht="14.25" customHeight="1"/>
    <row r="46" ht="14.25" customHeight="1"/>
    <row r="47" ht="14.25" customHeight="1">
      <c r="A47" s="4" t="s">
        <v>0</v>
      </c>
      <c r="B47" s="1">
        <v>1895.0</v>
      </c>
      <c r="C47" s="1">
        <v>1900.0</v>
      </c>
      <c r="D47" s="1">
        <v>1905.0</v>
      </c>
      <c r="E47" s="1">
        <v>1910.0</v>
      </c>
      <c r="F47" s="1">
        <v>1915.0</v>
      </c>
      <c r="G47" s="1">
        <v>1920.0</v>
      </c>
      <c r="H47" s="1">
        <v>1925.0</v>
      </c>
      <c r="I47" s="1">
        <v>1930.0</v>
      </c>
      <c r="J47" s="1">
        <v>1935.0</v>
      </c>
      <c r="K47" s="1">
        <v>1940.0</v>
      </c>
      <c r="L47" s="1">
        <v>1945.0</v>
      </c>
      <c r="M47" s="1">
        <v>1950.0</v>
      </c>
      <c r="N47" s="1">
        <v>1955.0</v>
      </c>
      <c r="O47" s="1">
        <v>1960.0</v>
      </c>
      <c r="P47" s="1">
        <v>1965.0</v>
      </c>
      <c r="Q47" s="1">
        <v>1970.0</v>
      </c>
      <c r="R47" s="1">
        <v>1975.0</v>
      </c>
      <c r="S47" s="1">
        <v>1980.0</v>
      </c>
      <c r="T47" s="1">
        <v>1985.0</v>
      </c>
      <c r="U47" s="1">
        <v>1990.0</v>
      </c>
      <c r="V47" s="1">
        <v>1995.0</v>
      </c>
      <c r="W47" s="1">
        <v>2000.0</v>
      </c>
      <c r="X47" s="1">
        <v>2005.0</v>
      </c>
      <c r="Y47" s="1">
        <v>2010.0</v>
      </c>
      <c r="Z47" s="1">
        <v>2015.0</v>
      </c>
      <c r="AA47" s="1">
        <v>2020.0</v>
      </c>
      <c r="AB47" s="1">
        <v>2025.0</v>
      </c>
      <c r="AC47" s="1">
        <v>2030.0</v>
      </c>
      <c r="AD47" s="1">
        <v>2035.0</v>
      </c>
      <c r="AE47" s="1">
        <v>2040.0</v>
      </c>
      <c r="AF47" s="1">
        <v>2045.0</v>
      </c>
      <c r="AG47" s="1">
        <v>2050.0</v>
      </c>
      <c r="AH47" s="1">
        <v>2055.0</v>
      </c>
      <c r="AI47" s="1">
        <v>2060.0</v>
      </c>
      <c r="AJ47" s="1">
        <v>2065.0</v>
      </c>
      <c r="AK47" s="1">
        <v>2070.0</v>
      </c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</row>
    <row r="48" ht="14.25" customHeight="1">
      <c r="A48" s="4" t="s">
        <v>21</v>
      </c>
      <c r="B48" s="18">
        <f t="shared" ref="B48:AB48" si="42">B40-1</f>
        <v>0.1222527473</v>
      </c>
      <c r="C48" s="18">
        <f t="shared" si="42"/>
        <v>-0.0146878825</v>
      </c>
      <c r="D48" s="18">
        <f t="shared" si="42"/>
        <v>0.1192546584</v>
      </c>
      <c r="E48" s="18">
        <f t="shared" si="42"/>
        <v>0.03107658158</v>
      </c>
      <c r="F48" s="18">
        <f t="shared" si="42"/>
        <v>-0.1894510226</v>
      </c>
      <c r="G48" s="18">
        <f t="shared" si="42"/>
        <v>0.5484727756</v>
      </c>
      <c r="H48" s="18">
        <f t="shared" si="42"/>
        <v>0.1526586621</v>
      </c>
      <c r="I48" s="18">
        <f t="shared" si="42"/>
        <v>-0.09449404762</v>
      </c>
      <c r="J48" s="18">
        <f t="shared" si="42"/>
        <v>0.1421528348</v>
      </c>
      <c r="K48" s="18">
        <f t="shared" si="42"/>
        <v>-0.5309352518</v>
      </c>
      <c r="L48" s="18">
        <f t="shared" si="42"/>
        <v>1.17791411</v>
      </c>
      <c r="M48" s="18">
        <f t="shared" si="42"/>
        <v>0.293577164</v>
      </c>
      <c r="N48" s="18">
        <f t="shared" si="42"/>
        <v>0.2300975489</v>
      </c>
      <c r="O48" s="18">
        <f t="shared" si="42"/>
        <v>0.3723923905</v>
      </c>
      <c r="P48" s="18">
        <f t="shared" si="42"/>
        <v>0.2960352437</v>
      </c>
      <c r="Q48" s="18">
        <f t="shared" si="42"/>
        <v>0.2954331843</v>
      </c>
      <c r="R48" s="18">
        <f t="shared" si="42"/>
        <v>0.1513732439</v>
      </c>
      <c r="S48" s="18">
        <f t="shared" si="42"/>
        <v>0.08155391588</v>
      </c>
      <c r="T48" s="18">
        <f t="shared" si="42"/>
        <v>0.1657449239</v>
      </c>
      <c r="U48" s="18">
        <f t="shared" si="42"/>
        <v>0.07478199831</v>
      </c>
      <c r="V48" s="18">
        <f t="shared" si="42"/>
        <v>0.1352716201</v>
      </c>
      <c r="W48" s="18">
        <f t="shared" si="42"/>
        <v>0.1112925321</v>
      </c>
      <c r="X48" s="18">
        <f t="shared" si="42"/>
        <v>0.03877632632</v>
      </c>
      <c r="Y48" s="18">
        <f t="shared" si="42"/>
        <v>0.0611853865</v>
      </c>
      <c r="Z48" s="18">
        <f t="shared" si="42"/>
        <v>0.08041662441</v>
      </c>
      <c r="AA48" s="18">
        <f t="shared" si="42"/>
        <v>0.04192068781</v>
      </c>
      <c r="AB48" s="18">
        <f t="shared" si="42"/>
        <v>0.042590744</v>
      </c>
      <c r="AC48" s="18"/>
      <c r="AD48" s="18"/>
      <c r="AE48" s="18"/>
      <c r="AF48" s="18"/>
      <c r="AG48" s="18"/>
      <c r="AH48" s="18"/>
      <c r="AI48" s="18"/>
      <c r="AJ48" s="18"/>
    </row>
    <row r="49" ht="14.25" customHeight="1">
      <c r="A49" s="4" t="s">
        <v>22</v>
      </c>
      <c r="B49" s="18">
        <f t="shared" ref="B49:AJ49" si="43">B41-1</f>
        <v>0.1222527473</v>
      </c>
      <c r="C49" s="18">
        <f t="shared" si="43"/>
        <v>-0.0146878825</v>
      </c>
      <c r="D49" s="18">
        <f t="shared" si="43"/>
        <v>0.1192546584</v>
      </c>
      <c r="E49" s="18">
        <f t="shared" si="43"/>
        <v>0.03107658158</v>
      </c>
      <c r="F49" s="18">
        <f t="shared" si="43"/>
        <v>-0.1894510226</v>
      </c>
      <c r="G49" s="18">
        <f t="shared" si="43"/>
        <v>0.5484727756</v>
      </c>
      <c r="H49" s="18">
        <f t="shared" si="43"/>
        <v>0.1526586621</v>
      </c>
      <c r="I49" s="18">
        <f t="shared" si="43"/>
        <v>-0.09449404762</v>
      </c>
      <c r="J49" s="18">
        <f t="shared" si="43"/>
        <v>0.1421528348</v>
      </c>
      <c r="K49" s="18">
        <f t="shared" si="43"/>
        <v>-0.5309352518</v>
      </c>
      <c r="L49" s="18">
        <f t="shared" si="43"/>
        <v>1.17791411</v>
      </c>
      <c r="M49" s="18">
        <f t="shared" si="43"/>
        <v>0.293577164</v>
      </c>
      <c r="N49" s="18">
        <f t="shared" si="43"/>
        <v>0.2300975489</v>
      </c>
      <c r="O49" s="18">
        <f t="shared" si="43"/>
        <v>0.3723923905</v>
      </c>
      <c r="P49" s="18">
        <f t="shared" si="43"/>
        <v>0.2960352437</v>
      </c>
      <c r="Q49" s="18">
        <f t="shared" si="43"/>
        <v>0.2954331843</v>
      </c>
      <c r="R49" s="18">
        <f t="shared" si="43"/>
        <v>0.1513732439</v>
      </c>
      <c r="S49" s="18">
        <f t="shared" si="43"/>
        <v>0.08155391588</v>
      </c>
      <c r="T49" s="18">
        <f t="shared" si="43"/>
        <v>0.1657449239</v>
      </c>
      <c r="U49" s="18">
        <f t="shared" si="43"/>
        <v>0.07478199831</v>
      </c>
      <c r="V49" s="18">
        <f t="shared" si="43"/>
        <v>0.1352716201</v>
      </c>
      <c r="W49" s="18">
        <f t="shared" si="43"/>
        <v>0.1112925321</v>
      </c>
      <c r="X49" s="18">
        <f t="shared" si="43"/>
        <v>0.03877632632</v>
      </c>
      <c r="Y49" s="18">
        <f t="shared" si="43"/>
        <v>0.0611853865</v>
      </c>
      <c r="Z49" s="18">
        <f t="shared" si="43"/>
        <v>0.08041662441</v>
      </c>
      <c r="AA49" s="18">
        <f t="shared" si="43"/>
        <v>0.04192068781</v>
      </c>
      <c r="AB49" s="18">
        <f t="shared" si="43"/>
        <v>0.07834013802</v>
      </c>
      <c r="AC49" s="18">
        <f t="shared" si="43"/>
        <v>0.09437070218</v>
      </c>
      <c r="AD49" s="18">
        <f t="shared" si="43"/>
        <v>0.09867924408</v>
      </c>
      <c r="AE49" s="18">
        <f t="shared" si="43"/>
        <v>0.0900790565</v>
      </c>
      <c r="AF49" s="18">
        <f t="shared" si="43"/>
        <v>0.08793954902</v>
      </c>
      <c r="AG49" s="18">
        <f t="shared" si="43"/>
        <v>0.08793954902</v>
      </c>
      <c r="AH49" s="18">
        <f t="shared" si="43"/>
        <v>0.08793954902</v>
      </c>
      <c r="AI49" s="18">
        <f t="shared" si="43"/>
        <v>0.08793954902</v>
      </c>
      <c r="AJ49" s="18">
        <f t="shared" si="43"/>
        <v>0.08793954902</v>
      </c>
      <c r="AK49" s="17"/>
    </row>
    <row r="50" ht="14.25" customHeight="1">
      <c r="A50" s="4" t="s">
        <v>23</v>
      </c>
      <c r="B50" s="18">
        <f t="shared" ref="B50:AJ50" si="44">B42-1</f>
        <v>0.1222527473</v>
      </c>
      <c r="C50" s="18">
        <f t="shared" si="44"/>
        <v>-0.0146878825</v>
      </c>
      <c r="D50" s="18">
        <f t="shared" si="44"/>
        <v>0.1192546584</v>
      </c>
      <c r="E50" s="18">
        <f t="shared" si="44"/>
        <v>0.03107658158</v>
      </c>
      <c r="F50" s="18">
        <f t="shared" si="44"/>
        <v>-0.1894510226</v>
      </c>
      <c r="G50" s="18">
        <f t="shared" si="44"/>
        <v>0.5484727756</v>
      </c>
      <c r="H50" s="18">
        <f t="shared" si="44"/>
        <v>0.1526586621</v>
      </c>
      <c r="I50" s="18">
        <f t="shared" si="44"/>
        <v>-0.09449404762</v>
      </c>
      <c r="J50" s="18">
        <f t="shared" si="44"/>
        <v>0.1421528348</v>
      </c>
      <c r="K50" s="18">
        <f t="shared" si="44"/>
        <v>-0.5309352518</v>
      </c>
      <c r="L50" s="18">
        <f t="shared" si="44"/>
        <v>1.17791411</v>
      </c>
      <c r="M50" s="18">
        <f t="shared" si="44"/>
        <v>0.293577164</v>
      </c>
      <c r="N50" s="18">
        <f t="shared" si="44"/>
        <v>0.2300975489</v>
      </c>
      <c r="O50" s="18">
        <f t="shared" si="44"/>
        <v>0.3723923905</v>
      </c>
      <c r="P50" s="18">
        <f t="shared" si="44"/>
        <v>0.2960352437</v>
      </c>
      <c r="Q50" s="18">
        <f t="shared" si="44"/>
        <v>0.2954331843</v>
      </c>
      <c r="R50" s="18">
        <f t="shared" si="44"/>
        <v>0.1513732439</v>
      </c>
      <c r="S50" s="18">
        <f t="shared" si="44"/>
        <v>0.08155391588</v>
      </c>
      <c r="T50" s="18">
        <f t="shared" si="44"/>
        <v>0.1657449239</v>
      </c>
      <c r="U50" s="18">
        <f t="shared" si="44"/>
        <v>0.07478199831</v>
      </c>
      <c r="V50" s="18">
        <f t="shared" si="44"/>
        <v>0.1352716201</v>
      </c>
      <c r="W50" s="18">
        <f t="shared" si="44"/>
        <v>0.1112925321</v>
      </c>
      <c r="X50" s="18">
        <f t="shared" si="44"/>
        <v>0.03877632632</v>
      </c>
      <c r="Y50" s="18">
        <f t="shared" si="44"/>
        <v>0.0611853865</v>
      </c>
      <c r="Z50" s="18">
        <f t="shared" si="44"/>
        <v>0.08041662441</v>
      </c>
      <c r="AA50" s="18">
        <f t="shared" si="44"/>
        <v>0.04192068781</v>
      </c>
      <c r="AB50" s="18">
        <f t="shared" si="44"/>
        <v>0.07834013802</v>
      </c>
      <c r="AC50" s="18">
        <f t="shared" si="44"/>
        <v>0.0847334424</v>
      </c>
      <c r="AD50" s="18">
        <f t="shared" si="44"/>
        <v>0.08260128873</v>
      </c>
      <c r="AE50" s="18">
        <f t="shared" si="44"/>
        <v>0.07410200665</v>
      </c>
      <c r="AF50" s="18">
        <f t="shared" si="44"/>
        <v>0.07198763262</v>
      </c>
      <c r="AG50" s="18">
        <f t="shared" si="44"/>
        <v>0.07198763262</v>
      </c>
      <c r="AH50" s="18">
        <f t="shared" si="44"/>
        <v>0.07198763262</v>
      </c>
      <c r="AI50" s="18">
        <f t="shared" si="44"/>
        <v>0.07198763262</v>
      </c>
      <c r="AJ50" s="18">
        <f t="shared" si="44"/>
        <v>0.07198763262</v>
      </c>
      <c r="AK50" s="17"/>
    </row>
    <row r="51" ht="14.25" customHeight="1">
      <c r="A51" s="4" t="s">
        <v>24</v>
      </c>
      <c r="B51" s="18">
        <f t="shared" ref="B51:AJ51" si="45">B43-1</f>
        <v>0.1222527473</v>
      </c>
      <c r="C51" s="18">
        <f t="shared" si="45"/>
        <v>-0.0146878825</v>
      </c>
      <c r="D51" s="18">
        <f t="shared" si="45"/>
        <v>0.1192546584</v>
      </c>
      <c r="E51" s="18">
        <f t="shared" si="45"/>
        <v>0.03107658158</v>
      </c>
      <c r="F51" s="18">
        <f t="shared" si="45"/>
        <v>-0.1894510226</v>
      </c>
      <c r="G51" s="18">
        <f t="shared" si="45"/>
        <v>0.5484727756</v>
      </c>
      <c r="H51" s="18">
        <f t="shared" si="45"/>
        <v>0.1526586621</v>
      </c>
      <c r="I51" s="18">
        <f t="shared" si="45"/>
        <v>-0.09449404762</v>
      </c>
      <c r="J51" s="18">
        <f t="shared" si="45"/>
        <v>0.1421528348</v>
      </c>
      <c r="K51" s="18">
        <f t="shared" si="45"/>
        <v>-0.5309352518</v>
      </c>
      <c r="L51" s="18">
        <f t="shared" si="45"/>
        <v>1.17791411</v>
      </c>
      <c r="M51" s="18">
        <f t="shared" si="45"/>
        <v>0.293577164</v>
      </c>
      <c r="N51" s="18">
        <f t="shared" si="45"/>
        <v>0.2300975489</v>
      </c>
      <c r="O51" s="18">
        <f t="shared" si="45"/>
        <v>0.3723923905</v>
      </c>
      <c r="P51" s="18">
        <f t="shared" si="45"/>
        <v>0.2960352437</v>
      </c>
      <c r="Q51" s="18">
        <f t="shared" si="45"/>
        <v>0.2954331843</v>
      </c>
      <c r="R51" s="18">
        <f t="shared" si="45"/>
        <v>0.1513732439</v>
      </c>
      <c r="S51" s="18">
        <f t="shared" si="45"/>
        <v>0.08155391588</v>
      </c>
      <c r="T51" s="18">
        <f t="shared" si="45"/>
        <v>0.1657449239</v>
      </c>
      <c r="U51" s="18">
        <f t="shared" si="45"/>
        <v>0.07478199831</v>
      </c>
      <c r="V51" s="18">
        <f t="shared" si="45"/>
        <v>0.1352716201</v>
      </c>
      <c r="W51" s="18">
        <f t="shared" si="45"/>
        <v>0.1112925321</v>
      </c>
      <c r="X51" s="18">
        <f t="shared" si="45"/>
        <v>0.03877632632</v>
      </c>
      <c r="Y51" s="18">
        <f t="shared" si="45"/>
        <v>0.0611853865</v>
      </c>
      <c r="Z51" s="18">
        <f t="shared" si="45"/>
        <v>0.08041662441</v>
      </c>
      <c r="AA51" s="18">
        <f t="shared" si="45"/>
        <v>0.04192068781</v>
      </c>
      <c r="AB51" s="18">
        <f t="shared" si="45"/>
        <v>0.07622055104</v>
      </c>
      <c r="AC51" s="18">
        <f t="shared" si="45"/>
        <v>0.07622055104</v>
      </c>
      <c r="AD51" s="18">
        <f t="shared" si="45"/>
        <v>0.07198763262</v>
      </c>
      <c r="AE51" s="18">
        <f t="shared" si="45"/>
        <v>0.06355512579</v>
      </c>
      <c r="AF51" s="18">
        <f t="shared" si="45"/>
        <v>0.06145738393</v>
      </c>
      <c r="AG51" s="18">
        <f t="shared" si="45"/>
        <v>0.06145738393</v>
      </c>
      <c r="AH51" s="18">
        <f t="shared" si="45"/>
        <v>0.06145738393</v>
      </c>
      <c r="AI51" s="18">
        <f t="shared" si="45"/>
        <v>0.06145738393</v>
      </c>
      <c r="AJ51" s="18">
        <f t="shared" si="45"/>
        <v>0.06145738393</v>
      </c>
      <c r="AK51" s="17"/>
    </row>
    <row r="52" ht="14.25" customHeight="1">
      <c r="A52" s="4" t="s">
        <v>25</v>
      </c>
      <c r="B52" s="18">
        <f t="shared" ref="B52:AJ52" si="46">B44-1</f>
        <v>0.1222527473</v>
      </c>
      <c r="C52" s="18">
        <f t="shared" si="46"/>
        <v>-0.0146878825</v>
      </c>
      <c r="D52" s="18">
        <f t="shared" si="46"/>
        <v>0.1192546584</v>
      </c>
      <c r="E52" s="18">
        <f t="shared" si="46"/>
        <v>0.03107658158</v>
      </c>
      <c r="F52" s="18">
        <f t="shared" si="46"/>
        <v>-0.1894510226</v>
      </c>
      <c r="G52" s="18">
        <f t="shared" si="46"/>
        <v>0.5484727756</v>
      </c>
      <c r="H52" s="18">
        <f t="shared" si="46"/>
        <v>0.1526586621</v>
      </c>
      <c r="I52" s="18">
        <f t="shared" si="46"/>
        <v>-0.09449404762</v>
      </c>
      <c r="J52" s="18">
        <f t="shared" si="46"/>
        <v>0.1421528348</v>
      </c>
      <c r="K52" s="18">
        <f t="shared" si="46"/>
        <v>-0.5309352518</v>
      </c>
      <c r="L52" s="18">
        <f t="shared" si="46"/>
        <v>1.17791411</v>
      </c>
      <c r="M52" s="18">
        <f t="shared" si="46"/>
        <v>0.293577164</v>
      </c>
      <c r="N52" s="18">
        <f t="shared" si="46"/>
        <v>0.2300975489</v>
      </c>
      <c r="O52" s="18">
        <f t="shared" si="46"/>
        <v>0.3723923905</v>
      </c>
      <c r="P52" s="18">
        <f t="shared" si="46"/>
        <v>0.2960352437</v>
      </c>
      <c r="Q52" s="18">
        <f t="shared" si="46"/>
        <v>0.2954331843</v>
      </c>
      <c r="R52" s="18">
        <f t="shared" si="46"/>
        <v>0.1513732439</v>
      </c>
      <c r="S52" s="18">
        <f t="shared" si="46"/>
        <v>0.08155391588</v>
      </c>
      <c r="T52" s="18">
        <f t="shared" si="46"/>
        <v>0.1657449239</v>
      </c>
      <c r="U52" s="18">
        <f t="shared" si="46"/>
        <v>0.07478199831</v>
      </c>
      <c r="V52" s="18">
        <f t="shared" si="46"/>
        <v>0.1352716201</v>
      </c>
      <c r="W52" s="18">
        <f t="shared" si="46"/>
        <v>0.1112925321</v>
      </c>
      <c r="X52" s="18">
        <f t="shared" si="46"/>
        <v>0.03877632632</v>
      </c>
      <c r="Y52" s="18">
        <f t="shared" si="46"/>
        <v>0.0611853865</v>
      </c>
      <c r="Z52" s="18">
        <f t="shared" si="46"/>
        <v>0.08041662441</v>
      </c>
      <c r="AA52" s="18">
        <f t="shared" si="46"/>
        <v>0.04192068781</v>
      </c>
      <c r="AB52" s="18">
        <f t="shared" si="46"/>
        <v>0.07622055104</v>
      </c>
      <c r="AC52" s="18">
        <f t="shared" si="46"/>
        <v>0.06669653086</v>
      </c>
      <c r="AD52" s="18">
        <f t="shared" si="46"/>
        <v>0.05622338337</v>
      </c>
      <c r="AE52" s="18">
        <f t="shared" si="46"/>
        <v>0.04789030071</v>
      </c>
      <c r="AF52" s="18">
        <f t="shared" si="46"/>
        <v>0.04581732286</v>
      </c>
      <c r="AG52" s="18">
        <f t="shared" si="46"/>
        <v>0.04581732286</v>
      </c>
      <c r="AH52" s="18">
        <f t="shared" si="46"/>
        <v>0.04581732286</v>
      </c>
      <c r="AI52" s="18">
        <f t="shared" si="46"/>
        <v>0.04581732286</v>
      </c>
      <c r="AJ52" s="18">
        <f t="shared" si="46"/>
        <v>0.04581732286</v>
      </c>
      <c r="AK52" s="17"/>
    </row>
    <row r="53" ht="14.25" customHeight="1"/>
    <row r="54" ht="14.25" customHeight="1">
      <c r="A54" s="19" t="s">
        <v>26</v>
      </c>
      <c r="B54" s="1">
        <v>1895.0</v>
      </c>
      <c r="C54" s="1">
        <v>1900.0</v>
      </c>
      <c r="D54" s="1">
        <v>1905.0</v>
      </c>
      <c r="E54" s="1">
        <v>1910.0</v>
      </c>
      <c r="F54" s="1">
        <v>1915.0</v>
      </c>
      <c r="G54" s="1">
        <v>1920.0</v>
      </c>
      <c r="H54" s="1">
        <v>1925.0</v>
      </c>
      <c r="I54" s="1">
        <v>1930.0</v>
      </c>
      <c r="J54" s="1">
        <v>1935.0</v>
      </c>
      <c r="K54" s="1">
        <v>1940.0</v>
      </c>
      <c r="L54" s="1">
        <v>1945.0</v>
      </c>
      <c r="M54" s="1">
        <v>1950.0</v>
      </c>
      <c r="N54" s="1">
        <v>1955.0</v>
      </c>
      <c r="O54" s="1">
        <v>1960.0</v>
      </c>
      <c r="P54" s="1">
        <v>1965.0</v>
      </c>
      <c r="Q54" s="1">
        <v>1970.0</v>
      </c>
      <c r="R54" s="1">
        <v>1975.0</v>
      </c>
      <c r="S54" s="1">
        <v>1980.0</v>
      </c>
      <c r="T54" s="1">
        <v>1985.0</v>
      </c>
      <c r="U54" s="1">
        <v>1990.0</v>
      </c>
      <c r="V54" s="1">
        <v>1995.0</v>
      </c>
      <c r="W54" s="1">
        <v>2000.0</v>
      </c>
      <c r="X54" s="1">
        <v>2005.0</v>
      </c>
      <c r="Y54" s="1">
        <v>2010.0</v>
      </c>
      <c r="Z54" s="1">
        <v>2015.0</v>
      </c>
      <c r="AA54" s="1">
        <v>2020.0</v>
      </c>
      <c r="AB54" s="1">
        <v>2025.0</v>
      </c>
      <c r="AC54" s="1">
        <v>2030.0</v>
      </c>
      <c r="AD54" s="1">
        <v>2035.0</v>
      </c>
      <c r="AE54" s="1">
        <v>2040.0</v>
      </c>
      <c r="AF54" s="1">
        <v>2045.0</v>
      </c>
      <c r="AG54" s="1">
        <v>2050.0</v>
      </c>
      <c r="AH54" s="1">
        <v>2055.0</v>
      </c>
      <c r="AI54" s="1">
        <v>2060.0</v>
      </c>
      <c r="AJ54" s="1">
        <v>2065.0</v>
      </c>
      <c r="AK54" s="1">
        <v>2070.0</v>
      </c>
      <c r="AL54" s="1">
        <v>2075.0</v>
      </c>
      <c r="AM54" s="1">
        <v>2080.0</v>
      </c>
      <c r="AN54" s="1">
        <v>2085.0</v>
      </c>
      <c r="AO54" s="1">
        <v>2090.0</v>
      </c>
      <c r="AP54" s="1">
        <v>2095.0</v>
      </c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</row>
    <row r="55" ht="14.25" customHeight="1">
      <c r="A55" s="7" t="s">
        <v>21</v>
      </c>
      <c r="B55" s="7">
        <v>0.12225274725274726</v>
      </c>
      <c r="C55" s="7">
        <v>-0.014687882496940086</v>
      </c>
      <c r="D55" s="7">
        <v>0.11925465838509308</v>
      </c>
      <c r="E55" s="7">
        <v>0.031076581576027218</v>
      </c>
      <c r="F55" s="7">
        <v>-0.18945102260495195</v>
      </c>
      <c r="G55" s="7">
        <v>0.548472775564409</v>
      </c>
      <c r="H55" s="7">
        <v>0.1526586620926247</v>
      </c>
      <c r="I55" s="7">
        <v>-0.09449404761904767</v>
      </c>
      <c r="J55" s="7">
        <v>0.14215283483977004</v>
      </c>
      <c r="K55" s="7">
        <v>-0.530935251798561</v>
      </c>
      <c r="L55" s="7">
        <v>1.1779141104294477</v>
      </c>
      <c r="M55" s="7">
        <v>0.29357716400292766</v>
      </c>
      <c r="N55" s="7">
        <v>0.23009754889845646</v>
      </c>
      <c r="O55" s="7">
        <v>0.37239239054582196</v>
      </c>
      <c r="P55" s="7">
        <v>0.2960352437015641</v>
      </c>
      <c r="Q55" s="7">
        <v>0.29543318431718024</v>
      </c>
      <c r="R55" s="7">
        <v>0.15137324390083418</v>
      </c>
      <c r="S55" s="7">
        <v>0.08155391587858385</v>
      </c>
      <c r="T55" s="7">
        <v>0.1657449239324722</v>
      </c>
      <c r="U55" s="7">
        <v>0.07478199831027355</v>
      </c>
      <c r="V55" s="7">
        <v>0.13527162014554817</v>
      </c>
      <c r="W55" s="7">
        <v>0.111292532054732</v>
      </c>
      <c r="X55" s="7">
        <v>0.038776326321823706</v>
      </c>
      <c r="Y55" s="7">
        <v>0.061185386498655125</v>
      </c>
      <c r="Z55" s="7">
        <v>0.08041662441345121</v>
      </c>
      <c r="AA55" s="7">
        <v>0.04192068780800029</v>
      </c>
      <c r="AB55" s="7">
        <v>0.04259074400000018</v>
      </c>
    </row>
    <row r="56" ht="14.25" customHeight="1">
      <c r="A56" s="7" t="s">
        <v>22</v>
      </c>
      <c r="B56" s="7">
        <v>0.12225274725274726</v>
      </c>
      <c r="C56" s="7">
        <v>-0.014687882496940086</v>
      </c>
      <c r="D56" s="7">
        <v>0.11925465838509308</v>
      </c>
      <c r="E56" s="7">
        <v>0.031076581576027218</v>
      </c>
      <c r="F56" s="7">
        <v>-0.18945102260495195</v>
      </c>
      <c r="G56" s="7">
        <v>0.548472775564409</v>
      </c>
      <c r="H56" s="7">
        <v>0.1526586620926247</v>
      </c>
      <c r="I56" s="7">
        <v>-0.09449404761904767</v>
      </c>
      <c r="J56" s="7">
        <v>0.14215283483977004</v>
      </c>
      <c r="K56" s="7">
        <v>-0.530935251798561</v>
      </c>
      <c r="L56" s="7">
        <v>1.1779141104294477</v>
      </c>
      <c r="M56" s="7">
        <v>0.29357716400292766</v>
      </c>
      <c r="N56" s="7">
        <v>0.23009754889845646</v>
      </c>
      <c r="O56" s="7">
        <v>0.37239239054582196</v>
      </c>
      <c r="P56" s="7">
        <v>0.2960352437015641</v>
      </c>
      <c r="Q56" s="7">
        <v>0.29543318431718024</v>
      </c>
      <c r="R56" s="7">
        <v>0.15137324390083418</v>
      </c>
      <c r="S56" s="7">
        <v>0.08155391587858385</v>
      </c>
      <c r="T56" s="7">
        <v>0.1657449239324722</v>
      </c>
      <c r="U56" s="7">
        <v>0.07478199831027355</v>
      </c>
      <c r="V56" s="7">
        <v>0.13527162014554817</v>
      </c>
      <c r="W56" s="7">
        <v>0.111292532054732</v>
      </c>
      <c r="X56" s="7">
        <v>0.038776326321823706</v>
      </c>
      <c r="Y56" s="7">
        <v>0.061185386498655125</v>
      </c>
      <c r="Z56" s="7">
        <v>0.08041662441345121</v>
      </c>
      <c r="AA56" s="7">
        <v>0.04192068780800029</v>
      </c>
      <c r="AB56" s="7">
        <v>0.07834013802101603</v>
      </c>
      <c r="AC56" s="7">
        <v>0.09437070217525045</v>
      </c>
      <c r="AD56" s="7">
        <v>0.09867924408109863</v>
      </c>
      <c r="AE56" s="7">
        <v>0.09007905649589865</v>
      </c>
      <c r="AF56" s="7">
        <v>0.08793954902485623</v>
      </c>
      <c r="AG56" s="7">
        <v>0.08793954902485623</v>
      </c>
      <c r="AH56" s="7">
        <v>0.08793954902485623</v>
      </c>
      <c r="AI56" s="7">
        <v>0.08793954902485623</v>
      </c>
      <c r="AJ56" s="7">
        <v>0.08793954902485623</v>
      </c>
      <c r="AK56" s="4">
        <v>0.08793954902485623</v>
      </c>
      <c r="AL56" s="4">
        <v>0.08793954902485623</v>
      </c>
      <c r="AM56" s="4">
        <v>0.08793954902485623</v>
      </c>
      <c r="AN56" s="4">
        <v>0.08793954902485623</v>
      </c>
      <c r="AO56" s="4">
        <v>0.08793954902485623</v>
      </c>
      <c r="AP56" s="4">
        <v>0.08793954902485623</v>
      </c>
    </row>
    <row r="57" ht="14.25" customHeight="1">
      <c r="A57" s="7" t="s">
        <v>23</v>
      </c>
      <c r="B57" s="7">
        <v>0.12225274725274726</v>
      </c>
      <c r="C57" s="7">
        <v>-0.014687882496940086</v>
      </c>
      <c r="D57" s="7">
        <v>0.11925465838509308</v>
      </c>
      <c r="E57" s="7">
        <v>0.031076581576027218</v>
      </c>
      <c r="F57" s="7">
        <v>-0.18945102260495195</v>
      </c>
      <c r="G57" s="7">
        <v>0.548472775564409</v>
      </c>
      <c r="H57" s="7">
        <v>0.1526586620926247</v>
      </c>
      <c r="I57" s="7">
        <v>-0.09449404761904767</v>
      </c>
      <c r="J57" s="7">
        <v>0.14215283483977004</v>
      </c>
      <c r="K57" s="7">
        <v>-0.530935251798561</v>
      </c>
      <c r="L57" s="7">
        <v>1.1779141104294477</v>
      </c>
      <c r="M57" s="7">
        <v>0.29357716400292766</v>
      </c>
      <c r="N57" s="7">
        <v>0.23009754889845646</v>
      </c>
      <c r="O57" s="7">
        <v>0.37239239054582196</v>
      </c>
      <c r="P57" s="7">
        <v>0.2960352437015641</v>
      </c>
      <c r="Q57" s="7">
        <v>0.29543318431718024</v>
      </c>
      <c r="R57" s="7">
        <v>0.15137324390083418</v>
      </c>
      <c r="S57" s="7">
        <v>0.08155391587858385</v>
      </c>
      <c r="T57" s="7">
        <v>0.1657449239324722</v>
      </c>
      <c r="U57" s="7">
        <v>0.07478199831027355</v>
      </c>
      <c r="V57" s="7">
        <v>0.13527162014554817</v>
      </c>
      <c r="W57" s="7">
        <v>0.111292532054732</v>
      </c>
      <c r="X57" s="7">
        <v>0.038776326321823706</v>
      </c>
      <c r="Y57" s="7">
        <v>0.061185386498655125</v>
      </c>
      <c r="Z57" s="7">
        <v>0.08041662441345121</v>
      </c>
      <c r="AA57" s="7">
        <v>0.04192068780800029</v>
      </c>
      <c r="AB57" s="7">
        <v>0.07834013802101603</v>
      </c>
      <c r="AC57" s="7">
        <v>0.08473344239974367</v>
      </c>
      <c r="AD57" s="7">
        <v>0.08260128872857608</v>
      </c>
      <c r="AE57" s="7">
        <v>0.07410200664665623</v>
      </c>
      <c r="AF57" s="7">
        <v>0.07198763261782437</v>
      </c>
      <c r="AG57" s="7">
        <v>0.07198763261782437</v>
      </c>
      <c r="AH57" s="7">
        <v>0.07198763261782437</v>
      </c>
      <c r="AI57" s="7">
        <v>0.07198763261782437</v>
      </c>
      <c r="AJ57" s="7">
        <v>0.07198763261782437</v>
      </c>
      <c r="AK57" s="4">
        <v>0.07198763261782437</v>
      </c>
      <c r="AL57" s="4">
        <v>0.07198763261782437</v>
      </c>
      <c r="AM57" s="4">
        <v>0.07198763261782437</v>
      </c>
      <c r="AN57" s="4">
        <v>0.07198763261782437</v>
      </c>
      <c r="AO57" s="4">
        <v>0.07198763261782437</v>
      </c>
      <c r="AP57" s="4">
        <v>0.07198763261782437</v>
      </c>
    </row>
    <row r="58" ht="14.25" customHeight="1">
      <c r="A58" s="7" t="s">
        <v>24</v>
      </c>
      <c r="B58" s="7">
        <v>0.12225274725274726</v>
      </c>
      <c r="C58" s="7">
        <v>-0.014687882496940086</v>
      </c>
      <c r="D58" s="7">
        <v>0.11925465838509308</v>
      </c>
      <c r="E58" s="7">
        <v>0.031076581576027218</v>
      </c>
      <c r="F58" s="7">
        <v>-0.18945102260495195</v>
      </c>
      <c r="G58" s="7">
        <v>0.548472775564409</v>
      </c>
      <c r="H58" s="7">
        <v>0.1526586620926247</v>
      </c>
      <c r="I58" s="7">
        <v>-0.09449404761904767</v>
      </c>
      <c r="J58" s="7">
        <v>0.14215283483977004</v>
      </c>
      <c r="K58" s="7">
        <v>-0.530935251798561</v>
      </c>
      <c r="L58" s="7">
        <v>1.1779141104294477</v>
      </c>
      <c r="M58" s="7">
        <v>0.29357716400292766</v>
      </c>
      <c r="N58" s="7">
        <v>0.23009754889845646</v>
      </c>
      <c r="O58" s="7">
        <v>0.37239239054582196</v>
      </c>
      <c r="P58" s="7">
        <v>0.2960352437015641</v>
      </c>
      <c r="Q58" s="7">
        <v>0.29543318431718024</v>
      </c>
      <c r="R58" s="7">
        <v>0.15137324390083418</v>
      </c>
      <c r="S58" s="7">
        <v>0.08155391587858385</v>
      </c>
      <c r="T58" s="7">
        <v>0.1657449239324722</v>
      </c>
      <c r="U58" s="7">
        <v>0.07478199831027355</v>
      </c>
      <c r="V58" s="7">
        <v>0.13527162014554817</v>
      </c>
      <c r="W58" s="7">
        <v>0.111292532054732</v>
      </c>
      <c r="X58" s="7">
        <v>0.038776326321823706</v>
      </c>
      <c r="Y58" s="7">
        <v>0.061185386498655125</v>
      </c>
      <c r="Z58" s="7">
        <v>0.08041662441345121</v>
      </c>
      <c r="AA58" s="7">
        <v>0.04192068780800029</v>
      </c>
      <c r="AB58" s="7">
        <v>0.07622055103846415</v>
      </c>
      <c r="AC58" s="7">
        <v>0.07622055103846392</v>
      </c>
      <c r="AD58" s="7">
        <v>0.07198763261782437</v>
      </c>
      <c r="AE58" s="7">
        <v>0.06355512579430389</v>
      </c>
      <c r="AF58" s="7">
        <v>0.06145738392883193</v>
      </c>
      <c r="AG58" s="7">
        <v>0.06145738392883193</v>
      </c>
      <c r="AH58" s="7">
        <v>0.06145738392883193</v>
      </c>
      <c r="AI58" s="7">
        <v>0.06145738392883193</v>
      </c>
      <c r="AJ58" s="7">
        <v>0.06145738392883193</v>
      </c>
      <c r="AK58" s="4">
        <v>0.06145738392883193</v>
      </c>
      <c r="AL58" s="4">
        <v>0.06145738392883193</v>
      </c>
      <c r="AM58" s="4">
        <v>0.06145738392883193</v>
      </c>
      <c r="AN58" s="4">
        <v>0.06145738392883193</v>
      </c>
      <c r="AO58" s="4">
        <v>0.06145738392883193</v>
      </c>
      <c r="AP58" s="4">
        <v>0.06145738392883193</v>
      </c>
    </row>
    <row r="59" ht="14.25" customHeight="1">
      <c r="A59" s="7" t="s">
        <v>25</v>
      </c>
      <c r="B59" s="7">
        <v>0.12225274725274726</v>
      </c>
      <c r="C59" s="7">
        <v>-0.014687882496940086</v>
      </c>
      <c r="D59" s="7">
        <v>0.11925465838509308</v>
      </c>
      <c r="E59" s="7">
        <v>0.031076581576027218</v>
      </c>
      <c r="F59" s="7">
        <v>-0.18945102260495195</v>
      </c>
      <c r="G59" s="7">
        <v>0.548472775564409</v>
      </c>
      <c r="H59" s="7">
        <v>0.1526586620926247</v>
      </c>
      <c r="I59" s="7">
        <v>-0.09449404761904767</v>
      </c>
      <c r="J59" s="7">
        <v>0.14215283483977004</v>
      </c>
      <c r="K59" s="7">
        <v>-0.530935251798561</v>
      </c>
      <c r="L59" s="7">
        <v>1.1779141104294477</v>
      </c>
      <c r="M59" s="7">
        <v>0.29357716400292766</v>
      </c>
      <c r="N59" s="7">
        <v>0.23009754889845646</v>
      </c>
      <c r="O59" s="7">
        <v>0.37239239054582196</v>
      </c>
      <c r="P59" s="7">
        <v>0.2960352437015641</v>
      </c>
      <c r="Q59" s="7">
        <v>0.29543318431718024</v>
      </c>
      <c r="R59" s="7">
        <v>0.15137324390083418</v>
      </c>
      <c r="S59" s="7">
        <v>0.08155391587858385</v>
      </c>
      <c r="T59" s="7">
        <v>0.1657449239324722</v>
      </c>
      <c r="U59" s="7">
        <v>0.07478199831027355</v>
      </c>
      <c r="V59" s="7">
        <v>0.13527162014554817</v>
      </c>
      <c r="W59" s="7">
        <v>0.111292532054732</v>
      </c>
      <c r="X59" s="7">
        <v>0.038776326321823706</v>
      </c>
      <c r="Y59" s="7">
        <v>0.061185386498655125</v>
      </c>
      <c r="Z59" s="7">
        <v>0.08041662441345121</v>
      </c>
      <c r="AA59" s="7">
        <v>0.04192068780800029</v>
      </c>
      <c r="AB59" s="7">
        <v>0.07622055103846415</v>
      </c>
      <c r="AC59" s="7">
        <v>0.06669653086073568</v>
      </c>
      <c r="AD59" s="7">
        <v>0.056223383366050594</v>
      </c>
      <c r="AE59" s="7">
        <v>0.04789030070917044</v>
      </c>
      <c r="AF59" s="7">
        <v>0.04581732286404838</v>
      </c>
      <c r="AG59" s="7">
        <v>0.04581732286404838</v>
      </c>
      <c r="AH59" s="7">
        <v>0.04581732286404838</v>
      </c>
      <c r="AI59" s="7">
        <v>0.04581732286404838</v>
      </c>
      <c r="AJ59" s="7">
        <v>0.04581732286404838</v>
      </c>
      <c r="AK59" s="4">
        <v>0.04581732286404838</v>
      </c>
      <c r="AL59" s="4">
        <v>0.04581732286404838</v>
      </c>
      <c r="AM59" s="4">
        <v>0.04581732286404838</v>
      </c>
      <c r="AN59" s="4">
        <v>0.04581732286404838</v>
      </c>
      <c r="AO59" s="4">
        <v>0.04581732286404838</v>
      </c>
      <c r="AP59" s="4">
        <v>0.04581732286404838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GT9:GT1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75"/>
    <col customWidth="1" min="2" max="2" width="10.5"/>
    <col customWidth="1" min="3" max="3" width="9.13"/>
    <col customWidth="1" min="4" max="4" width="10.13"/>
    <col customWidth="1" min="5" max="6" width="9.5"/>
    <col customWidth="1" min="7" max="65" width="9.38"/>
  </cols>
  <sheetData>
    <row r="1" ht="14.25" customHeight="1">
      <c r="A1" s="4" t="s">
        <v>27</v>
      </c>
      <c r="B1" s="4"/>
      <c r="C1" s="4"/>
      <c r="D1" s="4"/>
      <c r="E1" s="4"/>
      <c r="F1" s="4"/>
    </row>
    <row r="2" ht="14.25" customHeight="1">
      <c r="A2" s="19"/>
      <c r="B2" s="19"/>
      <c r="C2" s="19"/>
      <c r="D2" s="19"/>
      <c r="E2" s="1">
        <v>1900.0</v>
      </c>
      <c r="F2" s="1">
        <v>1905.0</v>
      </c>
      <c r="G2" s="1">
        <v>1910.0</v>
      </c>
      <c r="H2" s="1">
        <v>1915.0</v>
      </c>
      <c r="I2" s="1">
        <v>1920.0</v>
      </c>
      <c r="J2" s="1">
        <v>1925.0</v>
      </c>
      <c r="K2" s="1">
        <v>1930.0</v>
      </c>
      <c r="L2" s="1">
        <v>1935.0</v>
      </c>
      <c r="M2" s="1">
        <v>1940.0</v>
      </c>
      <c r="N2" s="1">
        <v>1945.0</v>
      </c>
      <c r="O2" s="1">
        <v>1950.0</v>
      </c>
      <c r="P2" s="1">
        <v>1955.0</v>
      </c>
      <c r="Q2" s="1">
        <v>1960.0</v>
      </c>
      <c r="R2" s="1">
        <v>1965.0</v>
      </c>
      <c r="S2" s="1">
        <v>1970.0</v>
      </c>
      <c r="T2" s="1">
        <v>1975.0</v>
      </c>
      <c r="U2" s="1">
        <v>1980.0</v>
      </c>
      <c r="V2" s="1">
        <v>1985.0</v>
      </c>
      <c r="W2" s="1">
        <v>1990.0</v>
      </c>
      <c r="X2" s="1">
        <v>1995.0</v>
      </c>
      <c r="Y2" s="1">
        <v>2000.0</v>
      </c>
      <c r="Z2" s="1">
        <v>2005.0</v>
      </c>
      <c r="AA2" s="1">
        <v>2010.0</v>
      </c>
      <c r="AB2" s="1">
        <v>2015.0</v>
      </c>
      <c r="AC2" s="1">
        <v>2020.0</v>
      </c>
      <c r="AD2" s="1">
        <v>2025.0</v>
      </c>
      <c r="AE2" s="1">
        <v>2030.0</v>
      </c>
      <c r="AF2" s="1">
        <v>2035.0</v>
      </c>
      <c r="AG2" s="1">
        <v>2040.0</v>
      </c>
      <c r="AH2" s="1">
        <v>2045.0</v>
      </c>
      <c r="AI2" s="1">
        <v>2050.0</v>
      </c>
      <c r="AJ2" s="1">
        <v>2055.0</v>
      </c>
      <c r="AK2" s="1">
        <v>2060.0</v>
      </c>
      <c r="AL2" s="1">
        <v>2065.0</v>
      </c>
      <c r="AM2" s="1">
        <v>2070.0</v>
      </c>
      <c r="AN2" s="1">
        <v>2075.0</v>
      </c>
      <c r="AO2" s="1">
        <v>2080.0</v>
      </c>
      <c r="AP2" s="1">
        <v>2085.0</v>
      </c>
      <c r="AQ2" s="1">
        <v>2090.0</v>
      </c>
      <c r="AR2" s="1">
        <v>2095.0</v>
      </c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</row>
    <row r="3" ht="14.25" customHeight="1">
      <c r="A3" s="4" t="s">
        <v>22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 t="s">
        <v>40</v>
      </c>
      <c r="O3" s="4" t="s">
        <v>41</v>
      </c>
      <c r="P3" s="4" t="s">
        <v>42</v>
      </c>
      <c r="Q3" s="4" t="s">
        <v>43</v>
      </c>
      <c r="R3" s="4" t="s">
        <v>44</v>
      </c>
      <c r="S3" s="4" t="s">
        <v>45</v>
      </c>
      <c r="T3" s="4" t="s">
        <v>46</v>
      </c>
      <c r="U3" s="4" t="s">
        <v>47</v>
      </c>
      <c r="V3" s="4" t="s">
        <v>48</v>
      </c>
      <c r="W3" s="4" t="s">
        <v>49</v>
      </c>
      <c r="X3" s="4" t="s">
        <v>50</v>
      </c>
      <c r="Y3" s="4" t="s">
        <v>51</v>
      </c>
      <c r="Z3" s="4" t="s">
        <v>52</v>
      </c>
      <c r="AA3" s="4" t="s">
        <v>53</v>
      </c>
      <c r="AB3" s="4" t="s">
        <v>54</v>
      </c>
      <c r="AC3" s="4" t="s">
        <v>55</v>
      </c>
      <c r="AD3" s="4" t="s">
        <v>56</v>
      </c>
      <c r="AE3" s="4" t="s">
        <v>57</v>
      </c>
      <c r="AF3" s="4" t="s">
        <v>58</v>
      </c>
      <c r="AG3" s="4" t="s">
        <v>59</v>
      </c>
      <c r="AH3" s="4" t="s">
        <v>60</v>
      </c>
      <c r="AI3" s="4" t="s">
        <v>60</v>
      </c>
      <c r="AJ3" s="4" t="s">
        <v>60</v>
      </c>
      <c r="AK3" s="4" t="s">
        <v>60</v>
      </c>
      <c r="AL3" s="4" t="s">
        <v>60</v>
      </c>
      <c r="AM3" s="4" t="s">
        <v>60</v>
      </c>
      <c r="AN3" s="4" t="s">
        <v>60</v>
      </c>
      <c r="AO3" s="4" t="s">
        <v>60</v>
      </c>
      <c r="AP3" s="4" t="s">
        <v>60</v>
      </c>
      <c r="AQ3" s="4" t="s">
        <v>60</v>
      </c>
      <c r="AR3" s="4" t="s">
        <v>60</v>
      </c>
      <c r="AS3" s="4" t="s">
        <v>61</v>
      </c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 ht="14.25" customHeight="1">
      <c r="A4" s="4" t="s">
        <v>23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  <c r="J4" s="4" t="s">
        <v>36</v>
      </c>
      <c r="K4" s="4" t="s">
        <v>37</v>
      </c>
      <c r="L4" s="4" t="s">
        <v>38</v>
      </c>
      <c r="M4" s="4" t="s">
        <v>39</v>
      </c>
      <c r="N4" s="4" t="s">
        <v>40</v>
      </c>
      <c r="O4" s="4" t="s">
        <v>41</v>
      </c>
      <c r="P4" s="4" t="s">
        <v>42</v>
      </c>
      <c r="Q4" s="4" t="s">
        <v>43</v>
      </c>
      <c r="R4" s="4" t="s">
        <v>44</v>
      </c>
      <c r="S4" s="4" t="s">
        <v>45</v>
      </c>
      <c r="T4" s="4" t="s">
        <v>46</v>
      </c>
      <c r="U4" s="4" t="s">
        <v>47</v>
      </c>
      <c r="V4" s="4" t="s">
        <v>48</v>
      </c>
      <c r="W4" s="4" t="s">
        <v>49</v>
      </c>
      <c r="X4" s="4" t="s">
        <v>50</v>
      </c>
      <c r="Y4" s="4" t="s">
        <v>51</v>
      </c>
      <c r="Z4" s="4" t="s">
        <v>52</v>
      </c>
      <c r="AA4" s="4" t="s">
        <v>53</v>
      </c>
      <c r="AB4" s="4" t="s">
        <v>54</v>
      </c>
      <c r="AC4" s="4" t="s">
        <v>55</v>
      </c>
      <c r="AD4" s="4" t="s">
        <v>56</v>
      </c>
      <c r="AE4" s="4" t="s">
        <v>62</v>
      </c>
      <c r="AF4" s="4" t="s">
        <v>63</v>
      </c>
      <c r="AG4" s="4" t="s">
        <v>64</v>
      </c>
      <c r="AH4" s="4" t="s">
        <v>65</v>
      </c>
      <c r="AI4" s="4" t="s">
        <v>65</v>
      </c>
      <c r="AJ4" s="4" t="s">
        <v>65</v>
      </c>
      <c r="AK4" s="4" t="s">
        <v>65</v>
      </c>
      <c r="AL4" s="4" t="s">
        <v>65</v>
      </c>
      <c r="AM4" s="4" t="s">
        <v>65</v>
      </c>
      <c r="AN4" s="4" t="s">
        <v>65</v>
      </c>
      <c r="AO4" s="4" t="s">
        <v>65</v>
      </c>
      <c r="AP4" s="4" t="s">
        <v>65</v>
      </c>
      <c r="AQ4" s="4" t="s">
        <v>65</v>
      </c>
      <c r="AR4" s="4" t="s">
        <v>65</v>
      </c>
      <c r="AS4" s="4" t="s">
        <v>61</v>
      </c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 ht="14.25" customHeight="1">
      <c r="A5" s="4" t="s">
        <v>24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4" t="s">
        <v>35</v>
      </c>
      <c r="J5" s="4" t="s">
        <v>36</v>
      </c>
      <c r="K5" s="4" t="s">
        <v>37</v>
      </c>
      <c r="L5" s="4" t="s">
        <v>38</v>
      </c>
      <c r="M5" s="4" t="s">
        <v>39</v>
      </c>
      <c r="N5" s="4" t="s">
        <v>40</v>
      </c>
      <c r="O5" s="4" t="s">
        <v>41</v>
      </c>
      <c r="P5" s="4" t="s">
        <v>42</v>
      </c>
      <c r="Q5" s="4" t="s">
        <v>43</v>
      </c>
      <c r="R5" s="4" t="s">
        <v>44</v>
      </c>
      <c r="S5" s="4" t="s">
        <v>45</v>
      </c>
      <c r="T5" s="4" t="s">
        <v>46</v>
      </c>
      <c r="U5" s="4" t="s">
        <v>47</v>
      </c>
      <c r="V5" s="4" t="s">
        <v>48</v>
      </c>
      <c r="W5" s="4" t="s">
        <v>49</v>
      </c>
      <c r="X5" s="4" t="s">
        <v>50</v>
      </c>
      <c r="Y5" s="4" t="s">
        <v>51</v>
      </c>
      <c r="Z5" s="4" t="s">
        <v>52</v>
      </c>
      <c r="AA5" s="4" t="s">
        <v>53</v>
      </c>
      <c r="AB5" s="4" t="s">
        <v>54</v>
      </c>
      <c r="AC5" s="4" t="s">
        <v>55</v>
      </c>
      <c r="AD5" s="4" t="s">
        <v>66</v>
      </c>
      <c r="AE5" s="4" t="s">
        <v>67</v>
      </c>
      <c r="AF5" s="4" t="s">
        <v>65</v>
      </c>
      <c r="AG5" s="4" t="s">
        <v>68</v>
      </c>
      <c r="AH5" s="4" t="s">
        <v>69</v>
      </c>
      <c r="AI5" s="4" t="s">
        <v>69</v>
      </c>
      <c r="AJ5" s="4" t="s">
        <v>69</v>
      </c>
      <c r="AK5" s="4" t="s">
        <v>69</v>
      </c>
      <c r="AL5" s="4" t="s">
        <v>69</v>
      </c>
      <c r="AM5" s="4" t="s">
        <v>69</v>
      </c>
      <c r="AN5" s="4" t="s">
        <v>69</v>
      </c>
      <c r="AO5" s="4" t="s">
        <v>69</v>
      </c>
      <c r="AP5" s="4" t="s">
        <v>69</v>
      </c>
      <c r="AQ5" s="4" t="s">
        <v>69</v>
      </c>
      <c r="AR5" s="4" t="s">
        <v>69</v>
      </c>
      <c r="AS5" s="4" t="s">
        <v>61</v>
      </c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</row>
    <row r="6" ht="14.25" customHeight="1">
      <c r="A6" s="4" t="s">
        <v>25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33</v>
      </c>
      <c r="H6" s="4" t="s">
        <v>34</v>
      </c>
      <c r="I6" s="4" t="s">
        <v>35</v>
      </c>
      <c r="J6" s="4" t="s">
        <v>36</v>
      </c>
      <c r="K6" s="4" t="s">
        <v>37</v>
      </c>
      <c r="L6" s="4" t="s">
        <v>38</v>
      </c>
      <c r="M6" s="4" t="s">
        <v>39</v>
      </c>
      <c r="N6" s="4" t="s">
        <v>40</v>
      </c>
      <c r="O6" s="4" t="s">
        <v>41</v>
      </c>
      <c r="P6" s="4" t="s">
        <v>42</v>
      </c>
      <c r="Q6" s="4" t="s">
        <v>43</v>
      </c>
      <c r="R6" s="4" t="s">
        <v>44</v>
      </c>
      <c r="S6" s="4" t="s">
        <v>45</v>
      </c>
      <c r="T6" s="4" t="s">
        <v>46</v>
      </c>
      <c r="U6" s="4" t="s">
        <v>47</v>
      </c>
      <c r="V6" s="4" t="s">
        <v>48</v>
      </c>
      <c r="W6" s="4" t="s">
        <v>49</v>
      </c>
      <c r="X6" s="4" t="s">
        <v>50</v>
      </c>
      <c r="Y6" s="4" t="s">
        <v>51</v>
      </c>
      <c r="Z6" s="4" t="s">
        <v>52</v>
      </c>
      <c r="AA6" s="4" t="s">
        <v>53</v>
      </c>
      <c r="AB6" s="4" t="s">
        <v>54</v>
      </c>
      <c r="AC6" s="4" t="s">
        <v>55</v>
      </c>
      <c r="AD6" s="4" t="s">
        <v>66</v>
      </c>
      <c r="AE6" s="4" t="s">
        <v>70</v>
      </c>
      <c r="AF6" s="4" t="s">
        <v>71</v>
      </c>
      <c r="AG6" s="4" t="s">
        <v>72</v>
      </c>
      <c r="AH6" s="4" t="s">
        <v>73</v>
      </c>
      <c r="AI6" s="4" t="s">
        <v>73</v>
      </c>
      <c r="AJ6" s="4" t="s">
        <v>73</v>
      </c>
      <c r="AK6" s="4" t="s">
        <v>73</v>
      </c>
      <c r="AL6" s="4" t="s">
        <v>73</v>
      </c>
      <c r="AM6" s="4" t="s">
        <v>73</v>
      </c>
      <c r="AN6" s="4" t="s">
        <v>73</v>
      </c>
      <c r="AO6" s="4" t="s">
        <v>73</v>
      </c>
      <c r="AP6" s="4" t="s">
        <v>73</v>
      </c>
      <c r="AQ6" s="4" t="s">
        <v>73</v>
      </c>
      <c r="AR6" s="4" t="s">
        <v>73</v>
      </c>
      <c r="AS6" s="4" t="s">
        <v>61</v>
      </c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ht="14.25" customHeight="1">
      <c r="A7" s="4"/>
      <c r="B7" s="4"/>
      <c r="C7" s="4"/>
      <c r="D7" s="4"/>
      <c r="E7" s="4"/>
      <c r="F7" s="4"/>
    </row>
    <row r="8" ht="14.25" customHeight="1">
      <c r="A8" s="4"/>
      <c r="B8" s="4"/>
      <c r="C8" s="4"/>
      <c r="D8" s="4"/>
      <c r="E8" s="4"/>
      <c r="F8" s="4"/>
    </row>
    <row r="9" ht="14.25" customHeight="1">
      <c r="A9" s="20"/>
      <c r="B9" s="20"/>
      <c r="C9" s="20"/>
      <c r="D9" s="20"/>
      <c r="E9" s="21">
        <v>1900.0</v>
      </c>
      <c r="F9" s="21">
        <v>1905.0</v>
      </c>
      <c r="G9" s="21">
        <v>1910.0</v>
      </c>
      <c r="H9" s="21">
        <v>1915.0</v>
      </c>
      <c r="I9" s="21">
        <v>1920.0</v>
      </c>
      <c r="J9" s="21">
        <v>1925.0</v>
      </c>
      <c r="K9" s="21">
        <v>1930.0</v>
      </c>
      <c r="L9" s="21">
        <v>1935.0</v>
      </c>
      <c r="M9" s="21">
        <v>1940.0</v>
      </c>
      <c r="N9" s="21">
        <v>1945.0</v>
      </c>
      <c r="O9" s="21">
        <v>1950.0</v>
      </c>
      <c r="P9" s="21">
        <v>1955.0</v>
      </c>
      <c r="Q9" s="21">
        <v>1960.0</v>
      </c>
      <c r="R9" s="21">
        <v>1965.0</v>
      </c>
      <c r="S9" s="21">
        <v>1970.0</v>
      </c>
      <c r="T9" s="21">
        <v>1975.0</v>
      </c>
      <c r="U9" s="21">
        <v>1980.0</v>
      </c>
      <c r="V9" s="21">
        <v>1985.0</v>
      </c>
      <c r="W9" s="21">
        <v>1990.0</v>
      </c>
      <c r="X9" s="21">
        <v>1995.0</v>
      </c>
      <c r="Y9" s="21">
        <v>2000.0</v>
      </c>
      <c r="Z9" s="21">
        <v>2005.0</v>
      </c>
      <c r="AA9" s="21">
        <v>2010.0</v>
      </c>
      <c r="AB9" s="21">
        <v>2015.0</v>
      </c>
      <c r="AC9" s="22"/>
    </row>
    <row r="10" ht="14.25" customHeight="1">
      <c r="A10" s="23" t="s">
        <v>74</v>
      </c>
      <c r="B10" s="22" t="s">
        <v>28</v>
      </c>
      <c r="C10" s="22" t="s">
        <v>29</v>
      </c>
      <c r="D10" s="22" t="s">
        <v>30</v>
      </c>
      <c r="E10" s="22" t="s">
        <v>31</v>
      </c>
      <c r="F10" s="22" t="s">
        <v>32</v>
      </c>
      <c r="G10" s="22" t="s">
        <v>33</v>
      </c>
      <c r="H10" s="22" t="s">
        <v>34</v>
      </c>
      <c r="I10" s="22" t="s">
        <v>35</v>
      </c>
      <c r="J10" s="22" t="s">
        <v>36</v>
      </c>
      <c r="K10" s="22" t="s">
        <v>37</v>
      </c>
      <c r="L10" s="22" t="s">
        <v>38</v>
      </c>
      <c r="M10" s="22" t="s">
        <v>39</v>
      </c>
      <c r="N10" s="22" t="s">
        <v>40</v>
      </c>
      <c r="O10" s="22" t="s">
        <v>41</v>
      </c>
      <c r="P10" s="22" t="s">
        <v>42</v>
      </c>
      <c r="Q10" s="22" t="s">
        <v>43</v>
      </c>
      <c r="R10" s="22" t="s">
        <v>44</v>
      </c>
      <c r="S10" s="22" t="s">
        <v>45</v>
      </c>
      <c r="T10" s="22" t="s">
        <v>46</v>
      </c>
      <c r="U10" s="22" t="s">
        <v>47</v>
      </c>
      <c r="V10" s="22" t="s">
        <v>48</v>
      </c>
      <c r="W10" s="22" t="s">
        <v>49</v>
      </c>
      <c r="X10" s="22" t="s">
        <v>50</v>
      </c>
      <c r="Y10" s="22" t="s">
        <v>51</v>
      </c>
      <c r="Z10" s="22" t="s">
        <v>52</v>
      </c>
      <c r="AA10" s="22" t="s">
        <v>53</v>
      </c>
      <c r="AB10" s="22" t="s">
        <v>54</v>
      </c>
      <c r="AC10" s="22" t="s">
        <v>61</v>
      </c>
    </row>
    <row r="11" ht="14.25" customHeight="1">
      <c r="A11" s="4"/>
      <c r="B11" s="4"/>
      <c r="C11" s="4"/>
      <c r="D11" s="4"/>
      <c r="E11" s="4"/>
      <c r="F11" s="4"/>
    </row>
    <row r="12" ht="14.25" customHeight="1">
      <c r="A12" s="4"/>
      <c r="B12" s="4"/>
      <c r="C12" s="4"/>
      <c r="D12" s="4"/>
      <c r="E12" s="4"/>
      <c r="F12" s="4"/>
    </row>
    <row r="13" ht="14.25" customHeight="1">
      <c r="A13" s="4"/>
      <c r="B13" s="4"/>
      <c r="C13" s="4"/>
      <c r="D13" s="4"/>
      <c r="E13" s="4"/>
      <c r="F13" s="4"/>
    </row>
    <row r="14" ht="14.25" customHeight="1">
      <c r="A14" s="4"/>
      <c r="B14" s="4"/>
      <c r="C14" s="4"/>
      <c r="D14" s="4"/>
      <c r="E14" s="4"/>
      <c r="F14" s="4"/>
    </row>
    <row r="15" ht="14.25" customHeight="1">
      <c r="A15" s="4"/>
      <c r="B15" s="4"/>
      <c r="C15" s="4"/>
      <c r="D15" s="4"/>
      <c r="E15" s="4"/>
      <c r="F15" s="4"/>
    </row>
    <row r="16" ht="14.25" customHeight="1">
      <c r="A16" s="4"/>
      <c r="B16" s="4"/>
      <c r="C16" s="4"/>
      <c r="D16" s="4"/>
      <c r="E16" s="4"/>
      <c r="F16" s="4"/>
    </row>
    <row r="17" ht="14.25" customHeight="1">
      <c r="A17" s="4"/>
      <c r="B17" s="4"/>
      <c r="C17" s="4"/>
      <c r="D17" s="4"/>
      <c r="E17" s="4"/>
      <c r="F17" s="4"/>
    </row>
    <row r="18" ht="14.25" customHeight="1">
      <c r="A18" s="4"/>
      <c r="B18" s="4"/>
      <c r="C18" s="4"/>
      <c r="D18" s="4"/>
      <c r="E18" s="4"/>
      <c r="F18" s="4"/>
    </row>
    <row r="19" ht="14.25" customHeight="1">
      <c r="A19" s="4"/>
      <c r="B19" s="4"/>
      <c r="C19" s="4"/>
      <c r="D19" s="4"/>
      <c r="E19" s="4"/>
      <c r="F19" s="4"/>
    </row>
    <row r="20" ht="14.25" customHeight="1">
      <c r="A20" s="4"/>
      <c r="B20" s="4"/>
      <c r="C20" s="4"/>
      <c r="D20" s="4"/>
      <c r="E20" s="4"/>
      <c r="F20" s="4"/>
    </row>
    <row r="21" ht="14.25" customHeight="1">
      <c r="A21" s="4"/>
      <c r="B21" s="4"/>
      <c r="C21" s="4"/>
      <c r="D21" s="4"/>
      <c r="E21" s="4"/>
      <c r="F21" s="4"/>
    </row>
    <row r="22" ht="14.25" customHeight="1">
      <c r="A22" s="4"/>
      <c r="B22" s="4"/>
      <c r="C22" s="4"/>
      <c r="D22" s="4"/>
      <c r="E22" s="4"/>
      <c r="F22" s="4"/>
    </row>
    <row r="23" ht="14.25" customHeight="1">
      <c r="A23" s="4"/>
      <c r="B23" s="4"/>
      <c r="C23" s="4"/>
      <c r="D23" s="4"/>
      <c r="E23" s="4"/>
      <c r="F23" s="4"/>
    </row>
    <row r="24" ht="14.25" customHeight="1">
      <c r="A24" s="4"/>
      <c r="B24" s="4"/>
      <c r="C24" s="4"/>
      <c r="D24" s="4"/>
      <c r="E24" s="4"/>
      <c r="F24" s="4"/>
    </row>
    <row r="25" ht="14.25" customHeight="1">
      <c r="A25" s="4"/>
      <c r="B25" s="4"/>
      <c r="C25" s="4"/>
      <c r="D25" s="4"/>
      <c r="E25" s="4"/>
      <c r="F25" s="4"/>
    </row>
    <row r="26" ht="14.25" customHeight="1">
      <c r="A26" s="4"/>
      <c r="B26" s="4"/>
      <c r="C26" s="4"/>
      <c r="D26" s="4"/>
      <c r="E26" s="4"/>
      <c r="F26" s="4"/>
    </row>
    <row r="27" ht="14.25" customHeight="1">
      <c r="A27" s="4"/>
      <c r="B27" s="4"/>
      <c r="C27" s="4"/>
      <c r="D27" s="4"/>
      <c r="E27" s="4"/>
      <c r="F27" s="4"/>
    </row>
    <row r="28" ht="14.25" customHeight="1">
      <c r="A28" s="4"/>
      <c r="B28" s="4"/>
      <c r="C28" s="4"/>
      <c r="D28" s="4"/>
      <c r="E28" s="4"/>
      <c r="F28" s="4"/>
    </row>
    <row r="29" ht="14.25" customHeight="1">
      <c r="A29" s="4"/>
      <c r="B29" s="4"/>
      <c r="C29" s="4"/>
      <c r="D29" s="4"/>
      <c r="E29" s="4"/>
      <c r="F29" s="4"/>
    </row>
    <row r="30" ht="14.25" customHeight="1">
      <c r="A30" s="4"/>
      <c r="B30" s="4"/>
      <c r="C30" s="4"/>
      <c r="D30" s="4"/>
      <c r="E30" s="4"/>
      <c r="F30" s="4"/>
    </row>
    <row r="31" ht="14.25" customHeight="1">
      <c r="A31" s="4"/>
      <c r="B31" s="4"/>
      <c r="C31" s="4"/>
      <c r="D31" s="4"/>
      <c r="E31" s="4"/>
      <c r="F31" s="4"/>
    </row>
    <row r="32" ht="14.25" customHeight="1">
      <c r="A32" s="4"/>
      <c r="B32" s="4"/>
      <c r="C32" s="4"/>
      <c r="D32" s="4"/>
      <c r="E32" s="4"/>
      <c r="F32" s="4"/>
    </row>
    <row r="33" ht="14.25" customHeight="1">
      <c r="A33" s="4"/>
      <c r="B33" s="4"/>
      <c r="C33" s="4"/>
      <c r="D33" s="4"/>
      <c r="E33" s="4"/>
      <c r="F33" s="4"/>
    </row>
    <row r="34" ht="14.25" customHeight="1">
      <c r="A34" s="4"/>
      <c r="B34" s="4"/>
      <c r="C34" s="4"/>
      <c r="D34" s="4"/>
      <c r="E34" s="4"/>
      <c r="F34" s="4"/>
    </row>
    <row r="35" ht="14.25" customHeight="1">
      <c r="A35" s="4"/>
      <c r="B35" s="4"/>
      <c r="C35" s="4"/>
      <c r="D35" s="4"/>
      <c r="E35" s="4"/>
      <c r="F35" s="4"/>
    </row>
    <row r="36" ht="14.25" customHeight="1">
      <c r="A36" s="4"/>
      <c r="B36" s="4"/>
      <c r="C36" s="4"/>
      <c r="D36" s="4"/>
      <c r="E36" s="4"/>
      <c r="F36" s="4"/>
    </row>
    <row r="37" ht="14.25" customHeight="1">
      <c r="A37" s="4"/>
      <c r="B37" s="4"/>
      <c r="C37" s="4"/>
      <c r="D37" s="4"/>
      <c r="E37" s="4"/>
      <c r="F37" s="4"/>
    </row>
    <row r="38" ht="14.25" customHeight="1">
      <c r="A38" s="4"/>
      <c r="B38" s="4"/>
      <c r="C38" s="4"/>
      <c r="D38" s="4"/>
      <c r="E38" s="4"/>
      <c r="F38" s="4"/>
    </row>
    <row r="39" ht="14.25" customHeight="1">
      <c r="A39" s="4"/>
      <c r="B39" s="4"/>
      <c r="C39" s="4"/>
      <c r="D39" s="4"/>
      <c r="E39" s="4"/>
      <c r="F39" s="4"/>
    </row>
    <row r="40" ht="14.25" customHeight="1">
      <c r="A40" s="4"/>
      <c r="B40" s="4"/>
      <c r="C40" s="4"/>
      <c r="D40" s="4"/>
      <c r="E40" s="4"/>
      <c r="F40" s="4"/>
    </row>
    <row r="41" ht="14.25" customHeight="1">
      <c r="A41" s="4"/>
      <c r="B41" s="4"/>
      <c r="C41" s="4"/>
      <c r="D41" s="4"/>
      <c r="E41" s="4"/>
      <c r="F41" s="4"/>
    </row>
    <row r="42" ht="14.25" customHeight="1">
      <c r="A42" s="4"/>
      <c r="B42" s="4"/>
      <c r="C42" s="4"/>
      <c r="D42" s="4"/>
      <c r="E42" s="4"/>
      <c r="F42" s="4"/>
    </row>
    <row r="43" ht="14.25" customHeight="1">
      <c r="A43" s="4"/>
      <c r="B43" s="4"/>
      <c r="C43" s="4"/>
      <c r="D43" s="4"/>
      <c r="E43" s="4"/>
      <c r="F43" s="4"/>
    </row>
    <row r="44" ht="14.25" customHeight="1">
      <c r="A44" s="4"/>
      <c r="B44" s="4"/>
      <c r="C44" s="4"/>
      <c r="D44" s="4"/>
      <c r="E44" s="4"/>
      <c r="F44" s="4"/>
    </row>
    <row r="45" ht="14.25" customHeight="1">
      <c r="A45" s="4"/>
      <c r="B45" s="4"/>
      <c r="C45" s="4"/>
      <c r="D45" s="4"/>
      <c r="E45" s="4"/>
      <c r="F45" s="4"/>
    </row>
    <row r="46" ht="14.25" customHeight="1">
      <c r="A46" s="4"/>
      <c r="B46" s="4"/>
      <c r="C46" s="4"/>
      <c r="D46" s="4"/>
      <c r="E46" s="4"/>
      <c r="F46" s="4"/>
    </row>
    <row r="47" ht="14.25" customHeight="1">
      <c r="A47" s="4"/>
      <c r="B47" s="4"/>
      <c r="C47" s="4"/>
      <c r="D47" s="4"/>
      <c r="E47" s="4"/>
      <c r="F47" s="4"/>
    </row>
    <row r="48" ht="14.25" customHeight="1">
      <c r="A48" s="4"/>
      <c r="B48" s="4"/>
      <c r="C48" s="4"/>
      <c r="D48" s="4"/>
      <c r="E48" s="4"/>
      <c r="F48" s="4"/>
    </row>
    <row r="49" ht="14.25" customHeight="1">
      <c r="A49" s="4"/>
      <c r="B49" s="4"/>
      <c r="C49" s="4"/>
      <c r="D49" s="4"/>
      <c r="E49" s="4"/>
      <c r="F49" s="4"/>
    </row>
    <row r="50" ht="14.25" customHeight="1">
      <c r="A50" s="4"/>
      <c r="B50" s="4"/>
      <c r="C50" s="4"/>
      <c r="D50" s="4"/>
      <c r="E50" s="4"/>
      <c r="F50" s="4"/>
    </row>
    <row r="51" ht="14.25" customHeight="1">
      <c r="A51" s="4"/>
      <c r="B51" s="4"/>
      <c r="C51" s="4"/>
      <c r="D51" s="4"/>
      <c r="E51" s="4"/>
      <c r="F51" s="4"/>
    </row>
    <row r="52" ht="14.25" customHeight="1">
      <c r="A52" s="4"/>
      <c r="B52" s="4"/>
      <c r="C52" s="4"/>
      <c r="D52" s="4"/>
      <c r="E52" s="4"/>
      <c r="F52" s="4"/>
    </row>
    <row r="53" ht="14.25" customHeight="1">
      <c r="A53" s="4"/>
      <c r="B53" s="4"/>
      <c r="C53" s="4"/>
      <c r="D53" s="4"/>
      <c r="E53" s="4"/>
      <c r="F53" s="4"/>
    </row>
    <row r="54" ht="14.25" customHeight="1">
      <c r="A54" s="4"/>
      <c r="B54" s="4"/>
      <c r="C54" s="4"/>
      <c r="D54" s="4"/>
      <c r="E54" s="4"/>
      <c r="F54" s="4"/>
    </row>
    <row r="55" ht="14.25" customHeight="1">
      <c r="A55" s="4"/>
      <c r="B55" s="4"/>
      <c r="C55" s="4"/>
      <c r="D55" s="4"/>
      <c r="E55" s="4"/>
      <c r="F55" s="4"/>
    </row>
    <row r="56" ht="14.25" customHeight="1">
      <c r="A56" s="4"/>
      <c r="B56" s="4"/>
      <c r="C56" s="4"/>
      <c r="D56" s="4"/>
      <c r="E56" s="4"/>
      <c r="F56" s="4"/>
    </row>
    <row r="57" ht="14.25" customHeight="1">
      <c r="A57" s="4"/>
      <c r="B57" s="4"/>
      <c r="C57" s="4"/>
      <c r="D57" s="4"/>
      <c r="E57" s="4"/>
      <c r="F57" s="4"/>
    </row>
    <row r="58" ht="14.25" customHeight="1">
      <c r="A58" s="4"/>
      <c r="B58" s="4"/>
      <c r="C58" s="4"/>
      <c r="D58" s="4"/>
      <c r="E58" s="4"/>
      <c r="F58" s="4"/>
    </row>
    <row r="59" ht="14.25" customHeight="1">
      <c r="A59" s="4"/>
      <c r="B59" s="4"/>
      <c r="C59" s="4"/>
      <c r="D59" s="4"/>
      <c r="E59" s="4"/>
      <c r="F59" s="4"/>
    </row>
    <row r="60" ht="14.25" customHeight="1">
      <c r="A60" s="4"/>
      <c r="B60" s="4"/>
      <c r="C60" s="4"/>
      <c r="D60" s="4"/>
      <c r="E60" s="4"/>
      <c r="F60" s="4"/>
    </row>
    <row r="61" ht="14.25" customHeight="1">
      <c r="A61" s="4"/>
      <c r="B61" s="4"/>
      <c r="C61" s="4"/>
      <c r="D61" s="4"/>
      <c r="E61" s="4"/>
      <c r="F61" s="4"/>
    </row>
    <row r="62" ht="14.25" customHeight="1">
      <c r="A62" s="4"/>
      <c r="B62" s="4"/>
      <c r="C62" s="4"/>
      <c r="D62" s="4"/>
      <c r="E62" s="4"/>
      <c r="F62" s="4"/>
    </row>
    <row r="63" ht="14.25" customHeight="1">
      <c r="A63" s="4"/>
      <c r="B63" s="4"/>
      <c r="C63" s="4"/>
      <c r="D63" s="4"/>
      <c r="E63" s="4"/>
      <c r="F63" s="4"/>
    </row>
    <row r="64" ht="14.25" customHeight="1">
      <c r="A64" s="4"/>
      <c r="B64" s="4"/>
      <c r="C64" s="4"/>
      <c r="D64" s="4"/>
      <c r="E64" s="4"/>
      <c r="F64" s="4"/>
    </row>
    <row r="65" ht="14.25" customHeight="1">
      <c r="A65" s="4"/>
      <c r="B65" s="4"/>
      <c r="C65" s="4"/>
      <c r="D65" s="4"/>
      <c r="E65" s="4"/>
      <c r="F65" s="4"/>
    </row>
    <row r="66" ht="14.25" customHeight="1">
      <c r="A66" s="4"/>
      <c r="B66" s="4"/>
      <c r="C66" s="4"/>
      <c r="D66" s="4"/>
      <c r="E66" s="4"/>
      <c r="F66" s="4"/>
    </row>
    <row r="67" ht="14.25" customHeight="1">
      <c r="A67" s="4"/>
      <c r="B67" s="4"/>
      <c r="C67" s="4"/>
      <c r="D67" s="4"/>
      <c r="E67" s="4"/>
      <c r="F67" s="4"/>
    </row>
    <row r="68" ht="14.25" customHeight="1">
      <c r="A68" s="4"/>
      <c r="B68" s="4"/>
      <c r="C68" s="4"/>
      <c r="D68" s="4"/>
      <c r="E68" s="4"/>
      <c r="F68" s="4"/>
    </row>
    <row r="69" ht="14.25" customHeight="1">
      <c r="A69" s="4"/>
      <c r="B69" s="4"/>
      <c r="C69" s="4"/>
      <c r="D69" s="4"/>
      <c r="E69" s="4"/>
      <c r="F69" s="4"/>
    </row>
    <row r="70" ht="14.25" customHeight="1">
      <c r="A70" s="4"/>
      <c r="B70" s="4"/>
      <c r="C70" s="4"/>
      <c r="D70" s="4"/>
      <c r="E70" s="4"/>
      <c r="F70" s="4"/>
    </row>
    <row r="71" ht="14.25" customHeight="1">
      <c r="A71" s="4"/>
      <c r="B71" s="4"/>
      <c r="C71" s="4"/>
      <c r="D71" s="4"/>
      <c r="E71" s="4"/>
      <c r="F71" s="4"/>
    </row>
    <row r="72" ht="14.25" customHeight="1">
      <c r="A72" s="4"/>
      <c r="B72" s="4"/>
      <c r="C72" s="4"/>
      <c r="D72" s="4"/>
      <c r="E72" s="4"/>
      <c r="F72" s="4"/>
    </row>
    <row r="73" ht="14.25" customHeight="1">
      <c r="A73" s="4"/>
      <c r="B73" s="4"/>
      <c r="C73" s="4"/>
      <c r="D73" s="4"/>
      <c r="E73" s="4"/>
      <c r="F73" s="4"/>
    </row>
    <row r="74" ht="14.25" customHeight="1">
      <c r="A74" s="4"/>
      <c r="B74" s="4"/>
      <c r="C74" s="4"/>
      <c r="D74" s="4"/>
      <c r="E74" s="4"/>
      <c r="F74" s="4"/>
    </row>
    <row r="75" ht="14.25" customHeight="1">
      <c r="A75" s="4"/>
      <c r="B75" s="4"/>
      <c r="C75" s="4"/>
      <c r="D75" s="4"/>
      <c r="E75" s="4"/>
      <c r="F75" s="4"/>
    </row>
    <row r="76" ht="14.25" customHeight="1">
      <c r="A76" s="4"/>
      <c r="B76" s="4"/>
      <c r="C76" s="4"/>
      <c r="D76" s="4"/>
      <c r="E76" s="4"/>
      <c r="F76" s="4"/>
    </row>
    <row r="77" ht="14.25" customHeight="1">
      <c r="A77" s="4"/>
      <c r="B77" s="4"/>
      <c r="C77" s="4"/>
      <c r="D77" s="4"/>
      <c r="E77" s="4"/>
      <c r="F77" s="4"/>
    </row>
    <row r="78" ht="14.25" customHeight="1">
      <c r="A78" s="4"/>
      <c r="B78" s="4"/>
      <c r="C78" s="4"/>
      <c r="D78" s="4"/>
      <c r="E78" s="4"/>
      <c r="F78" s="4"/>
    </row>
    <row r="79" ht="14.25" customHeight="1">
      <c r="A79" s="4"/>
      <c r="B79" s="4"/>
      <c r="C79" s="4"/>
      <c r="D79" s="4"/>
      <c r="E79" s="4"/>
      <c r="F79" s="4"/>
    </row>
    <row r="80" ht="14.25" customHeight="1">
      <c r="A80" s="4"/>
      <c r="B80" s="4"/>
      <c r="C80" s="4"/>
      <c r="D80" s="4"/>
      <c r="E80" s="4"/>
      <c r="F80" s="4"/>
    </row>
    <row r="81" ht="14.25" customHeight="1">
      <c r="A81" s="4"/>
      <c r="B81" s="4"/>
      <c r="C81" s="4"/>
      <c r="D81" s="4"/>
      <c r="E81" s="4"/>
      <c r="F81" s="4"/>
    </row>
    <row r="82" ht="14.25" customHeight="1">
      <c r="A82" s="4"/>
      <c r="B82" s="4"/>
      <c r="C82" s="4"/>
      <c r="D82" s="4"/>
      <c r="E82" s="4"/>
      <c r="F82" s="4"/>
    </row>
    <row r="83" ht="14.25" customHeight="1">
      <c r="A83" s="4"/>
      <c r="B83" s="4"/>
      <c r="C83" s="4"/>
      <c r="D83" s="4"/>
      <c r="E83" s="4"/>
      <c r="F83" s="4"/>
    </row>
    <row r="84" ht="14.25" customHeight="1">
      <c r="A84" s="4"/>
      <c r="B84" s="4"/>
      <c r="C84" s="4"/>
      <c r="D84" s="4"/>
      <c r="E84" s="4"/>
      <c r="F84" s="4"/>
    </row>
    <row r="85" ht="14.25" customHeight="1">
      <c r="A85" s="4"/>
      <c r="B85" s="4"/>
      <c r="C85" s="4"/>
      <c r="D85" s="4"/>
      <c r="E85" s="4"/>
      <c r="F85" s="4"/>
    </row>
    <row r="86" ht="14.25" customHeight="1">
      <c r="A86" s="4"/>
      <c r="B86" s="4"/>
      <c r="C86" s="4"/>
      <c r="D86" s="4"/>
      <c r="E86" s="4"/>
      <c r="F86" s="4"/>
    </row>
    <row r="87" ht="14.25" customHeight="1">
      <c r="A87" s="4"/>
      <c r="B87" s="4"/>
      <c r="C87" s="4"/>
      <c r="D87" s="4"/>
      <c r="E87" s="4"/>
      <c r="F87" s="4"/>
    </row>
    <row r="88" ht="14.25" customHeight="1">
      <c r="A88" s="4"/>
      <c r="B88" s="4"/>
      <c r="C88" s="4"/>
      <c r="D88" s="4"/>
      <c r="E88" s="4"/>
      <c r="F88" s="4"/>
    </row>
    <row r="89" ht="14.25" customHeight="1">
      <c r="A89" s="4"/>
      <c r="B89" s="4"/>
      <c r="C89" s="4"/>
      <c r="D89" s="4"/>
      <c r="E89" s="4"/>
      <c r="F89" s="4"/>
    </row>
    <row r="90" ht="14.25" customHeight="1">
      <c r="A90" s="4"/>
      <c r="B90" s="4"/>
      <c r="C90" s="4"/>
      <c r="D90" s="4"/>
      <c r="E90" s="4"/>
      <c r="F90" s="4"/>
    </row>
    <row r="91" ht="14.25" customHeight="1">
      <c r="A91" s="4"/>
      <c r="B91" s="4"/>
      <c r="C91" s="4"/>
      <c r="D91" s="4"/>
      <c r="E91" s="4"/>
      <c r="F91" s="4"/>
    </row>
    <row r="92" ht="14.25" customHeight="1">
      <c r="A92" s="4"/>
      <c r="B92" s="4"/>
      <c r="C92" s="4"/>
      <c r="D92" s="4"/>
      <c r="E92" s="4"/>
      <c r="F92" s="4"/>
    </row>
    <row r="93" ht="14.25" customHeight="1">
      <c r="A93" s="4"/>
      <c r="B93" s="4"/>
      <c r="C93" s="4"/>
      <c r="D93" s="4"/>
      <c r="E93" s="4"/>
      <c r="F93" s="4"/>
    </row>
    <row r="94" ht="14.25" customHeight="1">
      <c r="A94" s="4"/>
      <c r="B94" s="4"/>
      <c r="C94" s="4"/>
      <c r="D94" s="4"/>
      <c r="E94" s="4"/>
      <c r="F94" s="4"/>
    </row>
    <row r="95" ht="14.25" customHeight="1">
      <c r="A95" s="4"/>
      <c r="B95" s="4"/>
      <c r="C95" s="4"/>
      <c r="D95" s="4"/>
      <c r="E95" s="4"/>
      <c r="F95" s="4"/>
    </row>
    <row r="96" ht="14.25" customHeight="1">
      <c r="A96" s="4"/>
      <c r="B96" s="4"/>
      <c r="C96" s="4"/>
      <c r="D96" s="4"/>
      <c r="E96" s="4"/>
      <c r="F96" s="4"/>
    </row>
    <row r="97" ht="14.25" customHeight="1">
      <c r="A97" s="4"/>
      <c r="B97" s="4"/>
      <c r="C97" s="4"/>
      <c r="D97" s="4"/>
      <c r="E97" s="4"/>
      <c r="F97" s="4"/>
    </row>
    <row r="98" ht="14.25" customHeight="1">
      <c r="A98" s="4"/>
      <c r="B98" s="4"/>
      <c r="C98" s="4"/>
      <c r="D98" s="4"/>
      <c r="E98" s="4"/>
      <c r="F98" s="4"/>
    </row>
    <row r="99" ht="14.25" customHeight="1">
      <c r="A99" s="4"/>
      <c r="B99" s="4"/>
      <c r="C99" s="4"/>
      <c r="D99" s="4"/>
      <c r="E99" s="4"/>
      <c r="F99" s="4"/>
    </row>
    <row r="100" ht="14.25" customHeight="1">
      <c r="A100" s="4"/>
      <c r="B100" s="4"/>
      <c r="C100" s="4"/>
      <c r="D100" s="4"/>
      <c r="E100" s="4"/>
      <c r="F100" s="4"/>
    </row>
    <row r="101" ht="14.25" customHeight="1">
      <c r="A101" s="4"/>
      <c r="B101" s="4"/>
      <c r="C101" s="4"/>
      <c r="D101" s="4"/>
      <c r="E101" s="4"/>
      <c r="F101" s="4"/>
    </row>
    <row r="102" ht="14.25" customHeight="1">
      <c r="A102" s="4"/>
      <c r="B102" s="4"/>
      <c r="C102" s="4"/>
      <c r="D102" s="4"/>
      <c r="E102" s="4"/>
      <c r="F102" s="4"/>
    </row>
    <row r="103" ht="14.25" customHeight="1">
      <c r="A103" s="4"/>
      <c r="B103" s="4"/>
      <c r="C103" s="4"/>
      <c r="D103" s="4"/>
      <c r="E103" s="4"/>
      <c r="F103" s="4"/>
    </row>
    <row r="104" ht="14.25" customHeight="1">
      <c r="A104" s="4"/>
      <c r="B104" s="4"/>
      <c r="C104" s="4"/>
      <c r="D104" s="4"/>
      <c r="E104" s="4"/>
      <c r="F104" s="4"/>
    </row>
    <row r="105" ht="14.25" customHeight="1">
      <c r="A105" s="4"/>
      <c r="B105" s="4"/>
      <c r="C105" s="4"/>
      <c r="D105" s="4"/>
      <c r="E105" s="4"/>
      <c r="F105" s="4"/>
    </row>
    <row r="106" ht="14.25" customHeight="1">
      <c r="A106" s="4"/>
      <c r="B106" s="4"/>
      <c r="C106" s="4"/>
      <c r="D106" s="4"/>
      <c r="E106" s="4"/>
      <c r="F106" s="4"/>
    </row>
    <row r="107" ht="14.25" customHeight="1">
      <c r="A107" s="4"/>
      <c r="B107" s="4"/>
      <c r="C107" s="4"/>
      <c r="D107" s="4"/>
      <c r="E107" s="4"/>
      <c r="F107" s="4"/>
    </row>
    <row r="108" ht="14.25" customHeight="1">
      <c r="A108" s="4"/>
      <c r="B108" s="4"/>
      <c r="C108" s="4"/>
      <c r="D108" s="4"/>
      <c r="E108" s="4"/>
      <c r="F108" s="4"/>
    </row>
    <row r="109" ht="14.25" customHeight="1">
      <c r="A109" s="4"/>
      <c r="B109" s="4"/>
      <c r="C109" s="4"/>
      <c r="D109" s="4"/>
      <c r="E109" s="4"/>
      <c r="F109" s="4"/>
    </row>
    <row r="110" ht="14.25" customHeight="1">
      <c r="A110" s="4"/>
      <c r="B110" s="4"/>
      <c r="C110" s="4"/>
      <c r="D110" s="4"/>
      <c r="E110" s="4"/>
      <c r="F110" s="4"/>
    </row>
    <row r="111" ht="14.25" customHeight="1">
      <c r="A111" s="4"/>
      <c r="B111" s="4"/>
      <c r="C111" s="4"/>
      <c r="D111" s="4"/>
      <c r="E111" s="4"/>
      <c r="F111" s="4"/>
    </row>
    <row r="112" ht="14.25" customHeight="1">
      <c r="A112" s="4"/>
      <c r="B112" s="4"/>
      <c r="C112" s="4"/>
      <c r="D112" s="4"/>
      <c r="E112" s="4"/>
      <c r="F112" s="4"/>
    </row>
    <row r="113" ht="14.25" customHeight="1">
      <c r="A113" s="4"/>
      <c r="B113" s="4"/>
      <c r="C113" s="4"/>
      <c r="D113" s="4"/>
      <c r="E113" s="4"/>
      <c r="F113" s="4"/>
    </row>
    <row r="114" ht="14.25" customHeight="1">
      <c r="A114" s="4"/>
      <c r="B114" s="4"/>
      <c r="C114" s="4"/>
      <c r="D114" s="4"/>
      <c r="E114" s="4"/>
      <c r="F114" s="4"/>
    </row>
    <row r="115" ht="14.25" customHeight="1">
      <c r="A115" s="4"/>
      <c r="B115" s="4"/>
      <c r="C115" s="4"/>
      <c r="D115" s="4"/>
      <c r="E115" s="4"/>
      <c r="F115" s="4"/>
    </row>
    <row r="116" ht="14.25" customHeight="1">
      <c r="A116" s="4"/>
      <c r="B116" s="4"/>
      <c r="C116" s="4"/>
      <c r="D116" s="4"/>
      <c r="E116" s="4"/>
      <c r="F116" s="4"/>
    </row>
    <row r="117" ht="14.25" customHeight="1">
      <c r="A117" s="4"/>
      <c r="B117" s="4"/>
      <c r="C117" s="4"/>
      <c r="D117" s="4"/>
      <c r="E117" s="4"/>
      <c r="F117" s="4"/>
    </row>
    <row r="118" ht="14.25" customHeight="1">
      <c r="A118" s="4"/>
      <c r="B118" s="4"/>
      <c r="C118" s="4"/>
      <c r="D118" s="4"/>
      <c r="E118" s="4"/>
      <c r="F118" s="4"/>
    </row>
    <row r="119" ht="14.25" customHeight="1">
      <c r="A119" s="4"/>
      <c r="B119" s="4"/>
      <c r="C119" s="4"/>
      <c r="D119" s="4"/>
      <c r="E119" s="4"/>
      <c r="F119" s="4"/>
    </row>
    <row r="120" ht="14.25" customHeight="1">
      <c r="A120" s="4"/>
      <c r="B120" s="4"/>
      <c r="C120" s="4"/>
      <c r="D120" s="4"/>
      <c r="E120" s="4"/>
      <c r="F120" s="4"/>
    </row>
    <row r="121" ht="14.25" customHeight="1">
      <c r="A121" s="4"/>
      <c r="B121" s="4"/>
      <c r="C121" s="4"/>
      <c r="D121" s="4"/>
      <c r="E121" s="4"/>
      <c r="F121" s="4"/>
    </row>
    <row r="122" ht="14.25" customHeight="1">
      <c r="A122" s="4"/>
      <c r="B122" s="4"/>
      <c r="C122" s="4"/>
      <c r="D122" s="4"/>
      <c r="E122" s="4"/>
      <c r="F122" s="4"/>
    </row>
    <row r="123" ht="14.25" customHeight="1">
      <c r="A123" s="4"/>
      <c r="B123" s="4"/>
      <c r="C123" s="4"/>
      <c r="D123" s="4"/>
      <c r="E123" s="4"/>
      <c r="F123" s="4"/>
    </row>
    <row r="124" ht="14.25" customHeight="1">
      <c r="A124" s="4"/>
      <c r="B124" s="4"/>
      <c r="C124" s="4"/>
      <c r="D124" s="4"/>
      <c r="E124" s="4"/>
      <c r="F124" s="4"/>
    </row>
    <row r="125" ht="14.25" customHeight="1">
      <c r="A125" s="4"/>
      <c r="B125" s="4"/>
      <c r="C125" s="4"/>
      <c r="D125" s="4"/>
      <c r="E125" s="4"/>
      <c r="F125" s="4"/>
    </row>
    <row r="126" ht="14.25" customHeight="1">
      <c r="A126" s="4"/>
      <c r="B126" s="4"/>
      <c r="C126" s="4"/>
      <c r="D126" s="4"/>
      <c r="E126" s="4"/>
      <c r="F126" s="4"/>
    </row>
    <row r="127" ht="14.25" customHeight="1">
      <c r="A127" s="4"/>
      <c r="B127" s="4"/>
      <c r="C127" s="4"/>
      <c r="D127" s="4"/>
      <c r="E127" s="4"/>
      <c r="F127" s="4"/>
    </row>
    <row r="128" ht="14.25" customHeight="1">
      <c r="A128" s="4"/>
      <c r="B128" s="4"/>
      <c r="C128" s="4"/>
      <c r="D128" s="4"/>
      <c r="E128" s="4"/>
      <c r="F128" s="4"/>
    </row>
    <row r="129" ht="14.25" customHeight="1">
      <c r="A129" s="4"/>
      <c r="B129" s="4"/>
      <c r="C129" s="4"/>
      <c r="D129" s="4"/>
      <c r="E129" s="4"/>
      <c r="F129" s="4"/>
    </row>
    <row r="130" ht="14.25" customHeight="1">
      <c r="A130" s="4"/>
      <c r="B130" s="4"/>
      <c r="C130" s="4"/>
      <c r="D130" s="4"/>
      <c r="E130" s="4"/>
      <c r="F130" s="4"/>
    </row>
    <row r="131" ht="14.25" customHeight="1">
      <c r="A131" s="4"/>
      <c r="B131" s="4"/>
      <c r="C131" s="4"/>
      <c r="D131" s="4"/>
      <c r="E131" s="4"/>
      <c r="F131" s="4"/>
    </row>
    <row r="132" ht="14.25" customHeight="1">
      <c r="A132" s="4"/>
      <c r="B132" s="4"/>
      <c r="C132" s="4"/>
      <c r="D132" s="4"/>
      <c r="E132" s="4"/>
      <c r="F132" s="4"/>
    </row>
    <row r="133" ht="14.25" customHeight="1">
      <c r="A133" s="4"/>
      <c r="B133" s="4"/>
      <c r="C133" s="4"/>
      <c r="D133" s="4"/>
      <c r="E133" s="4"/>
      <c r="F133" s="4"/>
    </row>
    <row r="134" ht="14.25" customHeight="1">
      <c r="A134" s="4"/>
      <c r="B134" s="4"/>
      <c r="C134" s="4"/>
      <c r="D134" s="4"/>
      <c r="E134" s="4"/>
      <c r="F134" s="4"/>
    </row>
    <row r="135" ht="14.25" customHeight="1">
      <c r="A135" s="4"/>
      <c r="B135" s="4"/>
      <c r="C135" s="4"/>
      <c r="D135" s="4"/>
      <c r="E135" s="4"/>
      <c r="F135" s="4"/>
    </row>
    <row r="136" ht="14.25" customHeight="1">
      <c r="A136" s="4"/>
      <c r="B136" s="4"/>
      <c r="C136" s="4"/>
      <c r="D136" s="4"/>
      <c r="E136" s="4"/>
      <c r="F136" s="4"/>
    </row>
    <row r="137" ht="14.25" customHeight="1">
      <c r="A137" s="4"/>
      <c r="B137" s="4"/>
      <c r="C137" s="4"/>
      <c r="D137" s="4"/>
      <c r="E137" s="4"/>
      <c r="F137" s="4"/>
    </row>
    <row r="138" ht="14.25" customHeight="1">
      <c r="A138" s="4"/>
      <c r="B138" s="4"/>
      <c r="C138" s="4"/>
      <c r="D138" s="4"/>
      <c r="E138" s="4"/>
      <c r="F138" s="4"/>
    </row>
    <row r="139" ht="14.25" customHeight="1">
      <c r="A139" s="4"/>
      <c r="B139" s="4"/>
      <c r="C139" s="4"/>
      <c r="D139" s="4"/>
      <c r="E139" s="4"/>
      <c r="F139" s="4"/>
    </row>
    <row r="140" ht="14.25" customHeight="1">
      <c r="A140" s="4"/>
      <c r="B140" s="4"/>
      <c r="C140" s="4"/>
      <c r="D140" s="4"/>
      <c r="E140" s="4"/>
      <c r="F140" s="4"/>
    </row>
    <row r="141" ht="14.25" customHeight="1">
      <c r="A141" s="4"/>
      <c r="B141" s="4"/>
      <c r="C141" s="4"/>
      <c r="D141" s="4"/>
      <c r="E141" s="4"/>
      <c r="F141" s="4"/>
    </row>
    <row r="142" ht="14.25" customHeight="1">
      <c r="A142" s="4"/>
      <c r="B142" s="4"/>
      <c r="C142" s="4"/>
      <c r="D142" s="4"/>
      <c r="E142" s="4"/>
      <c r="F142" s="4"/>
    </row>
    <row r="143" ht="14.25" customHeight="1">
      <c r="A143" s="4"/>
      <c r="B143" s="4"/>
      <c r="C143" s="4"/>
      <c r="D143" s="4"/>
      <c r="E143" s="4"/>
      <c r="F143" s="4"/>
    </row>
    <row r="144" ht="14.25" customHeight="1">
      <c r="A144" s="4"/>
      <c r="B144" s="4"/>
      <c r="C144" s="4"/>
      <c r="D144" s="4"/>
      <c r="E144" s="4"/>
      <c r="F144" s="4"/>
    </row>
    <row r="145" ht="14.25" customHeight="1">
      <c r="A145" s="4"/>
      <c r="B145" s="4"/>
      <c r="C145" s="4"/>
      <c r="D145" s="4"/>
      <c r="E145" s="4"/>
      <c r="F145" s="4"/>
    </row>
    <row r="146" ht="14.25" customHeight="1">
      <c r="A146" s="4"/>
      <c r="B146" s="4"/>
      <c r="C146" s="4"/>
      <c r="D146" s="4"/>
      <c r="E146" s="4"/>
      <c r="F146" s="4"/>
    </row>
    <row r="147" ht="14.25" customHeight="1">
      <c r="A147" s="4"/>
      <c r="B147" s="4"/>
      <c r="C147" s="4"/>
      <c r="D147" s="4"/>
      <c r="E147" s="4"/>
      <c r="F147" s="4"/>
    </row>
    <row r="148" ht="14.25" customHeight="1">
      <c r="A148" s="4"/>
      <c r="B148" s="4"/>
      <c r="C148" s="4"/>
      <c r="D148" s="4"/>
      <c r="E148" s="4"/>
      <c r="F148" s="4"/>
    </row>
    <row r="149" ht="14.25" customHeight="1">
      <c r="A149" s="4"/>
      <c r="B149" s="4"/>
      <c r="C149" s="4"/>
      <c r="D149" s="4"/>
      <c r="E149" s="4"/>
      <c r="F149" s="4"/>
    </row>
    <row r="150" ht="14.25" customHeight="1">
      <c r="A150" s="4"/>
      <c r="B150" s="4"/>
      <c r="C150" s="4"/>
      <c r="D150" s="4"/>
      <c r="E150" s="4"/>
      <c r="F150" s="4"/>
    </row>
    <row r="151" ht="14.25" customHeight="1">
      <c r="A151" s="4"/>
      <c r="B151" s="4"/>
      <c r="C151" s="4"/>
      <c r="D151" s="4"/>
      <c r="E151" s="4"/>
      <c r="F151" s="4"/>
    </row>
    <row r="152" ht="14.25" customHeight="1">
      <c r="A152" s="4"/>
      <c r="B152" s="4"/>
      <c r="C152" s="4"/>
      <c r="D152" s="4"/>
      <c r="E152" s="4"/>
      <c r="F152" s="4"/>
    </row>
    <row r="153" ht="14.25" customHeight="1">
      <c r="A153" s="4"/>
      <c r="B153" s="4"/>
      <c r="C153" s="4"/>
      <c r="D153" s="4"/>
      <c r="E153" s="4"/>
      <c r="F153" s="4"/>
    </row>
    <row r="154" ht="14.25" customHeight="1">
      <c r="A154" s="4"/>
      <c r="B154" s="4"/>
      <c r="C154" s="4"/>
      <c r="D154" s="4"/>
      <c r="E154" s="4"/>
      <c r="F154" s="4"/>
    </row>
    <row r="155" ht="14.25" customHeight="1">
      <c r="A155" s="4"/>
      <c r="B155" s="4"/>
      <c r="C155" s="4"/>
      <c r="D155" s="4"/>
      <c r="E155" s="4"/>
      <c r="F155" s="4"/>
    </row>
    <row r="156" ht="14.25" customHeight="1">
      <c r="A156" s="4"/>
      <c r="B156" s="4"/>
      <c r="C156" s="4"/>
      <c r="D156" s="4"/>
      <c r="E156" s="4"/>
      <c r="F156" s="4"/>
    </row>
    <row r="157" ht="14.25" customHeight="1">
      <c r="A157" s="4"/>
      <c r="B157" s="4"/>
      <c r="C157" s="4"/>
      <c r="D157" s="4"/>
      <c r="E157" s="4"/>
      <c r="F157" s="4"/>
    </row>
    <row r="158" ht="14.25" customHeight="1">
      <c r="A158" s="4"/>
      <c r="B158" s="4"/>
      <c r="C158" s="4"/>
      <c r="D158" s="4"/>
      <c r="E158" s="4"/>
      <c r="F158" s="4"/>
    </row>
    <row r="159" ht="14.25" customHeight="1">
      <c r="A159" s="4"/>
      <c r="B159" s="4"/>
      <c r="C159" s="4"/>
      <c r="D159" s="4"/>
      <c r="E159" s="4"/>
      <c r="F159" s="4"/>
    </row>
    <row r="160" ht="14.25" customHeight="1">
      <c r="A160" s="4"/>
      <c r="B160" s="4"/>
      <c r="C160" s="4"/>
      <c r="D160" s="4"/>
      <c r="E160" s="4"/>
      <c r="F160" s="4"/>
    </row>
    <row r="161" ht="14.25" customHeight="1">
      <c r="A161" s="4"/>
      <c r="B161" s="4"/>
      <c r="C161" s="4"/>
      <c r="D161" s="4"/>
      <c r="E161" s="4"/>
      <c r="F161" s="4"/>
    </row>
    <row r="162" ht="14.25" customHeight="1">
      <c r="A162" s="4"/>
      <c r="B162" s="4"/>
      <c r="C162" s="4"/>
      <c r="D162" s="4"/>
      <c r="E162" s="4"/>
      <c r="F162" s="4"/>
    </row>
    <row r="163" ht="14.25" customHeight="1">
      <c r="A163" s="4"/>
      <c r="B163" s="4"/>
      <c r="C163" s="4"/>
      <c r="D163" s="4"/>
      <c r="E163" s="4"/>
      <c r="F163" s="4"/>
    </row>
    <row r="164" ht="14.25" customHeight="1">
      <c r="A164" s="4"/>
      <c r="B164" s="4"/>
      <c r="C164" s="4"/>
      <c r="D164" s="4"/>
      <c r="E164" s="4"/>
      <c r="F164" s="4"/>
    </row>
    <row r="165" ht="14.25" customHeight="1">
      <c r="A165" s="4"/>
      <c r="B165" s="4"/>
      <c r="C165" s="4"/>
      <c r="D165" s="4"/>
      <c r="E165" s="4"/>
      <c r="F165" s="4"/>
    </row>
    <row r="166" ht="14.25" customHeight="1">
      <c r="A166" s="4"/>
      <c r="B166" s="4"/>
      <c r="C166" s="4"/>
      <c r="D166" s="4"/>
      <c r="E166" s="4"/>
      <c r="F166" s="4"/>
    </row>
    <row r="167" ht="14.25" customHeight="1">
      <c r="A167" s="4"/>
      <c r="B167" s="4"/>
      <c r="C167" s="4"/>
      <c r="D167" s="4"/>
      <c r="E167" s="4"/>
      <c r="F167" s="4"/>
    </row>
    <row r="168" ht="14.25" customHeight="1">
      <c r="A168" s="4"/>
      <c r="B168" s="4"/>
      <c r="C168" s="4"/>
      <c r="D168" s="4"/>
      <c r="E168" s="4"/>
      <c r="F168" s="4"/>
    </row>
    <row r="169" ht="14.25" customHeight="1">
      <c r="A169" s="4"/>
      <c r="B169" s="4"/>
      <c r="C169" s="4"/>
      <c r="D169" s="4"/>
      <c r="E169" s="4"/>
      <c r="F169" s="4"/>
    </row>
    <row r="170" ht="14.25" customHeight="1">
      <c r="A170" s="4"/>
      <c r="B170" s="4"/>
      <c r="C170" s="4"/>
      <c r="D170" s="4"/>
      <c r="E170" s="4"/>
      <c r="F170" s="4"/>
    </row>
    <row r="171" ht="14.25" customHeight="1">
      <c r="A171" s="4"/>
      <c r="B171" s="4"/>
      <c r="C171" s="4"/>
      <c r="D171" s="4"/>
      <c r="E171" s="4"/>
      <c r="F171" s="4"/>
    </row>
    <row r="172" ht="14.25" customHeight="1">
      <c r="A172" s="4"/>
      <c r="B172" s="4"/>
      <c r="C172" s="4"/>
      <c r="D172" s="4"/>
      <c r="E172" s="4"/>
      <c r="F172" s="4"/>
    </row>
    <row r="173" ht="14.25" customHeight="1">
      <c r="A173" s="4"/>
      <c r="B173" s="4"/>
      <c r="C173" s="4"/>
      <c r="D173" s="4"/>
      <c r="E173" s="4"/>
      <c r="F173" s="4"/>
    </row>
    <row r="174" ht="14.25" customHeight="1">
      <c r="A174" s="4"/>
      <c r="B174" s="4"/>
      <c r="C174" s="4"/>
      <c r="D174" s="4"/>
      <c r="E174" s="4"/>
      <c r="F174" s="4"/>
    </row>
    <row r="175" ht="14.25" customHeight="1">
      <c r="A175" s="4"/>
      <c r="B175" s="4"/>
      <c r="C175" s="4"/>
      <c r="D175" s="4"/>
      <c r="E175" s="4"/>
      <c r="F175" s="4"/>
    </row>
    <row r="176" ht="14.25" customHeight="1">
      <c r="A176" s="4"/>
      <c r="B176" s="4"/>
      <c r="C176" s="4"/>
      <c r="D176" s="4"/>
      <c r="E176" s="4"/>
      <c r="F176" s="4"/>
    </row>
    <row r="177" ht="14.25" customHeight="1">
      <c r="A177" s="4"/>
      <c r="B177" s="4"/>
      <c r="C177" s="4"/>
      <c r="D177" s="4"/>
      <c r="E177" s="4"/>
      <c r="F177" s="4"/>
    </row>
    <row r="178" ht="14.25" customHeight="1">
      <c r="A178" s="4"/>
      <c r="B178" s="4"/>
      <c r="C178" s="4"/>
      <c r="D178" s="4"/>
      <c r="E178" s="4"/>
      <c r="F178" s="4"/>
    </row>
    <row r="179" ht="14.25" customHeight="1">
      <c r="A179" s="4"/>
      <c r="B179" s="4"/>
      <c r="C179" s="4"/>
      <c r="D179" s="4"/>
      <c r="E179" s="4"/>
      <c r="F179" s="4"/>
    </row>
    <row r="180" ht="14.25" customHeight="1">
      <c r="A180" s="4"/>
      <c r="B180" s="4"/>
      <c r="C180" s="4"/>
      <c r="D180" s="4"/>
      <c r="E180" s="4"/>
      <c r="F180" s="4"/>
    </row>
    <row r="181" ht="14.25" customHeight="1">
      <c r="A181" s="4"/>
      <c r="B181" s="4"/>
      <c r="C181" s="4"/>
      <c r="D181" s="4"/>
      <c r="E181" s="4"/>
      <c r="F181" s="4"/>
    </row>
    <row r="182" ht="14.25" customHeight="1">
      <c r="A182" s="4"/>
      <c r="B182" s="4"/>
      <c r="C182" s="4"/>
      <c r="D182" s="4"/>
      <c r="E182" s="4"/>
      <c r="F182" s="4"/>
    </row>
    <row r="183" ht="14.25" customHeight="1">
      <c r="A183" s="4"/>
      <c r="B183" s="4"/>
      <c r="C183" s="4"/>
      <c r="D183" s="4"/>
      <c r="E183" s="4"/>
      <c r="F183" s="4"/>
    </row>
    <row r="184" ht="14.25" customHeight="1">
      <c r="A184" s="4"/>
      <c r="B184" s="4"/>
      <c r="C184" s="4"/>
      <c r="D184" s="4"/>
      <c r="E184" s="4"/>
      <c r="F184" s="4"/>
    </row>
    <row r="185" ht="14.25" customHeight="1">
      <c r="A185" s="4"/>
      <c r="B185" s="4"/>
      <c r="C185" s="4"/>
      <c r="D185" s="4"/>
      <c r="E185" s="4"/>
      <c r="F185" s="4"/>
    </row>
    <row r="186" ht="14.25" customHeight="1">
      <c r="A186" s="4"/>
      <c r="B186" s="4"/>
      <c r="C186" s="4"/>
      <c r="D186" s="4"/>
      <c r="E186" s="4"/>
      <c r="F186" s="4"/>
    </row>
    <row r="187" ht="14.25" customHeight="1">
      <c r="A187" s="4"/>
      <c r="B187" s="4"/>
      <c r="C187" s="4"/>
      <c r="D187" s="4"/>
      <c r="E187" s="4"/>
      <c r="F187" s="4"/>
    </row>
    <row r="188" ht="14.25" customHeight="1">
      <c r="A188" s="4"/>
      <c r="B188" s="4"/>
      <c r="C188" s="4"/>
      <c r="D188" s="4"/>
      <c r="E188" s="4"/>
      <c r="F188" s="4"/>
    </row>
    <row r="189" ht="14.25" customHeight="1">
      <c r="A189" s="4"/>
      <c r="B189" s="4"/>
      <c r="C189" s="4"/>
      <c r="D189" s="4"/>
      <c r="E189" s="4"/>
      <c r="F189" s="4"/>
    </row>
    <row r="190" ht="14.25" customHeight="1">
      <c r="A190" s="4"/>
      <c r="B190" s="4"/>
      <c r="C190" s="4"/>
      <c r="D190" s="4"/>
      <c r="E190" s="4"/>
      <c r="F190" s="4"/>
    </row>
    <row r="191" ht="14.25" customHeight="1">
      <c r="A191" s="4"/>
      <c r="B191" s="4"/>
      <c r="C191" s="4"/>
      <c r="D191" s="4"/>
      <c r="E191" s="4"/>
      <c r="F191" s="4"/>
    </row>
    <row r="192" ht="14.25" customHeight="1">
      <c r="A192" s="4"/>
      <c r="B192" s="4"/>
      <c r="C192" s="4"/>
      <c r="D192" s="4"/>
      <c r="E192" s="4"/>
      <c r="F192" s="4"/>
    </row>
    <row r="193" ht="14.25" customHeight="1">
      <c r="A193" s="4"/>
      <c r="B193" s="4"/>
      <c r="C193" s="4"/>
      <c r="D193" s="4"/>
      <c r="E193" s="4"/>
      <c r="F193" s="4"/>
    </row>
    <row r="194" ht="14.25" customHeight="1">
      <c r="A194" s="4"/>
      <c r="B194" s="4"/>
      <c r="C194" s="4"/>
      <c r="D194" s="4"/>
      <c r="E194" s="4"/>
      <c r="F194" s="4"/>
    </row>
    <row r="195" ht="14.25" customHeight="1">
      <c r="A195" s="4"/>
      <c r="B195" s="4"/>
      <c r="C195" s="4"/>
      <c r="D195" s="4"/>
      <c r="E195" s="4"/>
      <c r="F195" s="4"/>
    </row>
    <row r="196" ht="14.25" customHeight="1">
      <c r="A196" s="4"/>
      <c r="B196" s="4"/>
      <c r="C196" s="4"/>
      <c r="D196" s="4"/>
      <c r="E196" s="4"/>
      <c r="F196" s="4"/>
    </row>
    <row r="197" ht="14.25" customHeight="1">
      <c r="A197" s="4"/>
      <c r="B197" s="4"/>
      <c r="C197" s="4"/>
      <c r="D197" s="4"/>
      <c r="E197" s="4"/>
      <c r="F197" s="4"/>
    </row>
    <row r="198" ht="14.25" customHeight="1">
      <c r="A198" s="4"/>
      <c r="B198" s="4"/>
      <c r="C198" s="4"/>
      <c r="D198" s="4"/>
      <c r="E198" s="4"/>
      <c r="F198" s="4"/>
    </row>
    <row r="199" ht="14.25" customHeight="1">
      <c r="A199" s="4"/>
      <c r="B199" s="4"/>
      <c r="C199" s="4"/>
      <c r="D199" s="4"/>
      <c r="E199" s="4"/>
      <c r="F199" s="4"/>
    </row>
    <row r="200" ht="14.25" customHeight="1">
      <c r="A200" s="4"/>
      <c r="B200" s="4"/>
      <c r="C200" s="4"/>
      <c r="D200" s="4"/>
      <c r="E200" s="4"/>
      <c r="F200" s="4"/>
    </row>
    <row r="201" ht="14.25" customHeight="1">
      <c r="A201" s="4"/>
      <c r="B201" s="4"/>
      <c r="C201" s="4"/>
      <c r="D201" s="4"/>
      <c r="E201" s="4"/>
      <c r="F201" s="4"/>
    </row>
    <row r="202" ht="14.25" customHeight="1">
      <c r="A202" s="4"/>
      <c r="B202" s="4"/>
      <c r="C202" s="4"/>
      <c r="D202" s="4"/>
      <c r="E202" s="4"/>
      <c r="F202" s="4"/>
    </row>
    <row r="203" ht="14.25" customHeight="1">
      <c r="A203" s="4"/>
      <c r="B203" s="4"/>
      <c r="C203" s="4"/>
      <c r="D203" s="4"/>
      <c r="E203" s="4"/>
      <c r="F203" s="4"/>
    </row>
    <row r="204" ht="14.25" customHeight="1">
      <c r="A204" s="4"/>
      <c r="B204" s="4"/>
      <c r="C204" s="4"/>
      <c r="D204" s="4"/>
      <c r="E204" s="4"/>
      <c r="F204" s="4"/>
    </row>
    <row r="205" ht="14.25" customHeight="1">
      <c r="A205" s="4"/>
      <c r="B205" s="4"/>
      <c r="C205" s="4"/>
      <c r="D205" s="4"/>
      <c r="E205" s="4"/>
      <c r="F205" s="4"/>
    </row>
    <row r="206" ht="14.25" customHeight="1">
      <c r="A206" s="4"/>
      <c r="B206" s="4"/>
      <c r="C206" s="4"/>
      <c r="D206" s="4"/>
      <c r="E206" s="4"/>
      <c r="F206" s="4"/>
    </row>
    <row r="207" ht="14.25" customHeight="1">
      <c r="A207" s="4"/>
      <c r="B207" s="4"/>
      <c r="C207" s="4"/>
      <c r="D207" s="4"/>
      <c r="E207" s="4"/>
      <c r="F207" s="4"/>
    </row>
    <row r="208" ht="14.25" customHeight="1">
      <c r="A208" s="4"/>
      <c r="B208" s="4"/>
      <c r="C208" s="4"/>
      <c r="D208" s="4"/>
      <c r="E208" s="4"/>
      <c r="F208" s="4"/>
    </row>
    <row r="209" ht="14.25" customHeight="1">
      <c r="A209" s="4"/>
      <c r="B209" s="4"/>
      <c r="C209" s="4"/>
      <c r="D209" s="4"/>
      <c r="E209" s="4"/>
      <c r="F209" s="4"/>
    </row>
    <row r="210" ht="14.25" customHeight="1">
      <c r="A210" s="4"/>
      <c r="B210" s="4"/>
      <c r="C210" s="4"/>
      <c r="D210" s="4"/>
      <c r="E210" s="4"/>
      <c r="F210" s="4"/>
    </row>
    <row r="211" ht="14.25" customHeight="1">
      <c r="A211" s="4"/>
      <c r="B211" s="4"/>
      <c r="C211" s="4"/>
      <c r="D211" s="4"/>
      <c r="E211" s="4"/>
      <c r="F211" s="4"/>
    </row>
    <row r="212" ht="14.25" customHeight="1">
      <c r="A212" s="4"/>
      <c r="B212" s="4"/>
      <c r="C212" s="4"/>
      <c r="D212" s="4"/>
      <c r="E212" s="4"/>
      <c r="F212" s="4"/>
    </row>
    <row r="213" ht="14.25" customHeight="1">
      <c r="A213" s="4"/>
      <c r="B213" s="4"/>
      <c r="C213" s="4"/>
      <c r="D213" s="4"/>
      <c r="E213" s="4"/>
      <c r="F213" s="4"/>
    </row>
    <row r="214" ht="14.25" customHeight="1">
      <c r="A214" s="4"/>
      <c r="B214" s="4"/>
      <c r="C214" s="4"/>
      <c r="D214" s="4"/>
      <c r="E214" s="4"/>
      <c r="F214" s="4"/>
    </row>
    <row r="215" ht="14.25" customHeight="1">
      <c r="A215" s="4"/>
      <c r="B215" s="4"/>
      <c r="C215" s="4"/>
      <c r="D215" s="4"/>
      <c r="E215" s="4"/>
      <c r="F215" s="4"/>
    </row>
    <row r="216" ht="14.25" customHeight="1">
      <c r="A216" s="4"/>
      <c r="B216" s="4"/>
      <c r="C216" s="4"/>
      <c r="D216" s="4"/>
      <c r="E216" s="4"/>
      <c r="F216" s="4"/>
    </row>
    <row r="217" ht="14.25" customHeight="1">
      <c r="A217" s="4"/>
      <c r="B217" s="4"/>
      <c r="C217" s="4"/>
      <c r="D217" s="4"/>
      <c r="E217" s="4"/>
      <c r="F217" s="4"/>
    </row>
    <row r="218" ht="14.25" customHeight="1">
      <c r="A218" s="4"/>
      <c r="B218" s="4"/>
      <c r="C218" s="4"/>
      <c r="D218" s="4"/>
      <c r="E218" s="4"/>
      <c r="F218" s="4"/>
    </row>
    <row r="219" ht="14.25" customHeight="1">
      <c r="A219" s="4"/>
      <c r="B219" s="4"/>
      <c r="C219" s="4"/>
      <c r="D219" s="4"/>
      <c r="E219" s="4"/>
      <c r="F219" s="4"/>
    </row>
    <row r="220" ht="14.25" customHeight="1">
      <c r="A220" s="4"/>
      <c r="B220" s="4"/>
      <c r="C220" s="4"/>
      <c r="D220" s="4"/>
      <c r="E220" s="4"/>
      <c r="F220" s="4"/>
    </row>
    <row r="221" ht="14.25" customHeight="1">
      <c r="A221" s="4"/>
      <c r="B221" s="4"/>
      <c r="C221" s="4"/>
      <c r="D221" s="4"/>
      <c r="E221" s="4"/>
      <c r="F221" s="4"/>
    </row>
    <row r="222" ht="14.25" customHeight="1">
      <c r="A222" s="4"/>
      <c r="B222" s="4"/>
      <c r="C222" s="4"/>
      <c r="D222" s="4"/>
      <c r="E222" s="4"/>
      <c r="F222" s="4"/>
    </row>
    <row r="223" ht="14.25" customHeight="1">
      <c r="A223" s="4"/>
      <c r="B223" s="4"/>
      <c r="C223" s="4"/>
      <c r="D223" s="4"/>
      <c r="E223" s="4"/>
      <c r="F223" s="4"/>
    </row>
    <row r="224" ht="14.25" customHeight="1">
      <c r="A224" s="4"/>
      <c r="B224" s="4"/>
      <c r="C224" s="4"/>
      <c r="D224" s="4"/>
      <c r="E224" s="4"/>
      <c r="F224" s="4"/>
    </row>
    <row r="225" ht="14.25" customHeight="1">
      <c r="A225" s="4"/>
      <c r="B225" s="4"/>
      <c r="C225" s="4"/>
      <c r="D225" s="4"/>
      <c r="E225" s="4"/>
      <c r="F225" s="4"/>
    </row>
    <row r="226" ht="14.25" customHeight="1">
      <c r="A226" s="4"/>
      <c r="B226" s="4"/>
      <c r="C226" s="4"/>
      <c r="D226" s="4"/>
      <c r="E226" s="4"/>
      <c r="F226" s="4"/>
    </row>
    <row r="227" ht="14.25" customHeight="1">
      <c r="A227" s="4"/>
      <c r="B227" s="4"/>
      <c r="C227" s="4"/>
      <c r="D227" s="4"/>
      <c r="E227" s="4"/>
      <c r="F227" s="4"/>
    </row>
    <row r="228" ht="14.25" customHeight="1">
      <c r="A228" s="4"/>
      <c r="B228" s="4"/>
      <c r="C228" s="4"/>
      <c r="D228" s="4"/>
      <c r="E228" s="4"/>
      <c r="F228" s="4"/>
    </row>
    <row r="229" ht="14.25" customHeight="1">
      <c r="A229" s="4"/>
      <c r="B229" s="4"/>
      <c r="C229" s="4"/>
      <c r="D229" s="4"/>
      <c r="E229" s="4"/>
      <c r="F229" s="4"/>
    </row>
    <row r="230" ht="14.25" customHeight="1">
      <c r="A230" s="4"/>
      <c r="B230" s="4"/>
      <c r="C230" s="4"/>
      <c r="D230" s="4"/>
      <c r="E230" s="4"/>
      <c r="F230" s="4"/>
    </row>
    <row r="231" ht="14.25" customHeight="1">
      <c r="A231" s="4"/>
      <c r="B231" s="4"/>
      <c r="C231" s="4"/>
      <c r="D231" s="4"/>
      <c r="E231" s="4"/>
      <c r="F231" s="4"/>
    </row>
    <row r="232" ht="14.25" customHeight="1">
      <c r="A232" s="4"/>
      <c r="B232" s="4"/>
      <c r="C232" s="4"/>
      <c r="D232" s="4"/>
      <c r="E232" s="4"/>
      <c r="F232" s="4"/>
    </row>
    <row r="233" ht="14.25" customHeight="1">
      <c r="A233" s="4"/>
      <c r="B233" s="4"/>
      <c r="C233" s="4"/>
      <c r="D233" s="4"/>
      <c r="E233" s="4"/>
      <c r="F233" s="4"/>
    </row>
    <row r="234" ht="14.25" customHeight="1">
      <c r="A234" s="4"/>
      <c r="B234" s="4"/>
      <c r="C234" s="4"/>
      <c r="D234" s="4"/>
      <c r="E234" s="4"/>
      <c r="F234" s="4"/>
    </row>
    <row r="235" ht="14.25" customHeight="1">
      <c r="A235" s="4"/>
      <c r="B235" s="4"/>
      <c r="C235" s="4"/>
      <c r="D235" s="4"/>
      <c r="E235" s="4"/>
      <c r="F235" s="4"/>
    </row>
    <row r="236" ht="14.25" customHeight="1">
      <c r="A236" s="4"/>
      <c r="B236" s="4"/>
      <c r="C236" s="4"/>
      <c r="D236" s="4"/>
      <c r="E236" s="4"/>
      <c r="F236" s="4"/>
    </row>
    <row r="237" ht="14.25" customHeight="1">
      <c r="A237" s="4"/>
      <c r="B237" s="4"/>
      <c r="C237" s="4"/>
      <c r="D237" s="4"/>
      <c r="E237" s="4"/>
      <c r="F237" s="4"/>
    </row>
    <row r="238" ht="14.25" customHeight="1">
      <c r="A238" s="4"/>
      <c r="B238" s="4"/>
      <c r="C238" s="4"/>
      <c r="D238" s="4"/>
      <c r="E238" s="4"/>
      <c r="F238" s="4"/>
    </row>
    <row r="239" ht="14.25" customHeight="1">
      <c r="A239" s="4"/>
      <c r="B239" s="4"/>
      <c r="C239" s="4"/>
      <c r="D239" s="4"/>
      <c r="E239" s="4"/>
      <c r="F239" s="4"/>
    </row>
    <row r="240" ht="14.25" customHeight="1">
      <c r="A240" s="4"/>
      <c r="B240" s="4"/>
      <c r="C240" s="4"/>
      <c r="D240" s="4"/>
      <c r="E240" s="4"/>
      <c r="F240" s="4"/>
    </row>
    <row r="241" ht="14.25" customHeight="1">
      <c r="A241" s="4"/>
      <c r="B241" s="4"/>
      <c r="C241" s="4"/>
      <c r="D241" s="4"/>
      <c r="E241" s="4"/>
      <c r="F241" s="4"/>
    </row>
    <row r="242" ht="14.25" customHeight="1">
      <c r="A242" s="4"/>
      <c r="B242" s="4"/>
      <c r="C242" s="4"/>
      <c r="D242" s="4"/>
      <c r="E242" s="4"/>
      <c r="F242" s="4"/>
    </row>
    <row r="243" ht="14.25" customHeight="1">
      <c r="A243" s="4"/>
      <c r="B243" s="4"/>
      <c r="C243" s="4"/>
      <c r="D243" s="4"/>
      <c r="E243" s="4"/>
      <c r="F243" s="4"/>
    </row>
    <row r="244" ht="14.25" customHeight="1">
      <c r="A244" s="4"/>
      <c r="B244" s="4"/>
      <c r="C244" s="4"/>
      <c r="D244" s="4"/>
      <c r="E244" s="4"/>
      <c r="F244" s="4"/>
    </row>
    <row r="245" ht="14.25" customHeight="1">
      <c r="A245" s="4"/>
      <c r="B245" s="4"/>
      <c r="C245" s="4"/>
      <c r="D245" s="4"/>
      <c r="E245" s="4"/>
      <c r="F245" s="4"/>
    </row>
    <row r="246" ht="14.25" customHeight="1">
      <c r="A246" s="4"/>
      <c r="B246" s="4"/>
      <c r="C246" s="4"/>
      <c r="D246" s="4"/>
      <c r="E246" s="4"/>
      <c r="F246" s="4"/>
    </row>
    <row r="247" ht="14.25" customHeight="1">
      <c r="A247" s="4"/>
      <c r="B247" s="4"/>
      <c r="C247" s="4"/>
      <c r="D247" s="4"/>
      <c r="E247" s="4"/>
      <c r="F247" s="4"/>
    </row>
    <row r="248" ht="14.25" customHeight="1">
      <c r="A248" s="4"/>
      <c r="B248" s="4"/>
      <c r="C248" s="4"/>
      <c r="D248" s="4"/>
      <c r="E248" s="4"/>
      <c r="F248" s="4"/>
    </row>
    <row r="249" ht="14.25" customHeight="1">
      <c r="A249" s="4"/>
      <c r="B249" s="4"/>
      <c r="C249" s="4"/>
      <c r="D249" s="4"/>
      <c r="E249" s="4"/>
      <c r="F249" s="4"/>
    </row>
    <row r="250" ht="14.25" customHeight="1">
      <c r="A250" s="4"/>
      <c r="B250" s="4"/>
      <c r="C250" s="4"/>
      <c r="D250" s="4"/>
      <c r="E250" s="4"/>
      <c r="F250" s="4"/>
    </row>
    <row r="251" ht="14.25" customHeight="1">
      <c r="A251" s="4"/>
      <c r="B251" s="4"/>
      <c r="C251" s="4"/>
      <c r="D251" s="4"/>
      <c r="E251" s="4"/>
      <c r="F251" s="4"/>
    </row>
    <row r="252" ht="14.25" customHeight="1">
      <c r="A252" s="4"/>
      <c r="B252" s="4"/>
      <c r="C252" s="4"/>
      <c r="D252" s="4"/>
      <c r="E252" s="4"/>
      <c r="F252" s="4"/>
    </row>
    <row r="253" ht="14.25" customHeight="1">
      <c r="A253" s="4"/>
      <c r="B253" s="4"/>
      <c r="C253" s="4"/>
      <c r="D253" s="4"/>
      <c r="E253" s="4"/>
      <c r="F253" s="4"/>
    </row>
    <row r="254" ht="14.25" customHeight="1">
      <c r="A254" s="4"/>
      <c r="B254" s="4"/>
      <c r="C254" s="4"/>
      <c r="D254" s="4"/>
      <c r="E254" s="4"/>
      <c r="F254" s="4"/>
    </row>
    <row r="255" ht="14.25" customHeight="1">
      <c r="A255" s="4"/>
      <c r="B255" s="4"/>
      <c r="C255" s="4"/>
      <c r="D255" s="4"/>
      <c r="E255" s="4"/>
      <c r="F255" s="4"/>
    </row>
    <row r="256" ht="14.25" customHeight="1">
      <c r="A256" s="4"/>
      <c r="B256" s="4"/>
      <c r="C256" s="4"/>
      <c r="D256" s="4"/>
      <c r="E256" s="4"/>
      <c r="F256" s="4"/>
    </row>
    <row r="257" ht="14.25" customHeight="1">
      <c r="A257" s="4"/>
      <c r="B257" s="4"/>
      <c r="C257" s="4"/>
      <c r="D257" s="4"/>
      <c r="E257" s="4"/>
      <c r="F257" s="4"/>
    </row>
    <row r="258" ht="14.25" customHeight="1">
      <c r="A258" s="4"/>
      <c r="B258" s="4"/>
      <c r="C258" s="4"/>
      <c r="D258" s="4"/>
      <c r="E258" s="4"/>
      <c r="F258" s="4"/>
    </row>
    <row r="259" ht="14.25" customHeight="1">
      <c r="A259" s="4"/>
      <c r="B259" s="4"/>
      <c r="C259" s="4"/>
      <c r="D259" s="4"/>
      <c r="E259" s="4"/>
      <c r="F259" s="4"/>
    </row>
    <row r="260" ht="14.25" customHeight="1">
      <c r="A260" s="4"/>
      <c r="B260" s="4"/>
      <c r="C260" s="4"/>
      <c r="D260" s="4"/>
      <c r="E260" s="4"/>
      <c r="F260" s="4"/>
    </row>
    <row r="261" ht="14.25" customHeight="1">
      <c r="A261" s="4"/>
      <c r="B261" s="4"/>
      <c r="C261" s="4"/>
      <c r="D261" s="4"/>
      <c r="E261" s="4"/>
      <c r="F261" s="4"/>
    </row>
    <row r="262" ht="14.25" customHeight="1">
      <c r="A262" s="4"/>
      <c r="B262" s="4"/>
      <c r="C262" s="4"/>
      <c r="D262" s="4"/>
      <c r="E262" s="4"/>
      <c r="F262" s="4"/>
    </row>
    <row r="263" ht="14.25" customHeight="1">
      <c r="A263" s="4"/>
      <c r="B263" s="4"/>
      <c r="C263" s="4"/>
      <c r="D263" s="4"/>
      <c r="E263" s="4"/>
      <c r="F263" s="4"/>
    </row>
    <row r="264" ht="14.25" customHeight="1">
      <c r="A264" s="4"/>
      <c r="B264" s="4"/>
      <c r="C264" s="4"/>
      <c r="D264" s="4"/>
      <c r="E264" s="4"/>
      <c r="F264" s="4"/>
    </row>
    <row r="265" ht="14.25" customHeight="1">
      <c r="A265" s="4"/>
      <c r="B265" s="4"/>
      <c r="C265" s="4"/>
      <c r="D265" s="4"/>
      <c r="E265" s="4"/>
      <c r="F265" s="4"/>
    </row>
    <row r="266" ht="14.25" customHeight="1">
      <c r="A266" s="4"/>
      <c r="B266" s="4"/>
      <c r="C266" s="4"/>
      <c r="D266" s="4"/>
      <c r="E266" s="4"/>
      <c r="F266" s="4"/>
    </row>
    <row r="267" ht="14.25" customHeight="1">
      <c r="A267" s="4"/>
      <c r="B267" s="4"/>
      <c r="C267" s="4"/>
      <c r="D267" s="4"/>
      <c r="E267" s="4"/>
      <c r="F267" s="4"/>
    </row>
    <row r="268" ht="14.25" customHeight="1">
      <c r="A268" s="4"/>
      <c r="B268" s="4"/>
      <c r="C268" s="4"/>
      <c r="D268" s="4"/>
      <c r="E268" s="4"/>
      <c r="F268" s="4"/>
    </row>
    <row r="269" ht="14.25" customHeight="1">
      <c r="A269" s="4"/>
      <c r="B269" s="4"/>
      <c r="C269" s="4"/>
      <c r="D269" s="4"/>
      <c r="E269" s="4"/>
      <c r="F269" s="4"/>
    </row>
    <row r="270" ht="14.25" customHeight="1">
      <c r="A270" s="4"/>
      <c r="B270" s="4"/>
      <c r="C270" s="4"/>
      <c r="D270" s="4"/>
      <c r="E270" s="4"/>
      <c r="F270" s="4"/>
    </row>
    <row r="271" ht="14.25" customHeight="1">
      <c r="A271" s="4"/>
      <c r="B271" s="4"/>
      <c r="C271" s="4"/>
      <c r="D271" s="4"/>
      <c r="E271" s="4"/>
      <c r="F271" s="4"/>
    </row>
    <row r="272" ht="14.25" customHeight="1">
      <c r="A272" s="4"/>
      <c r="B272" s="4"/>
      <c r="C272" s="4"/>
      <c r="D272" s="4"/>
      <c r="E272" s="4"/>
      <c r="F272" s="4"/>
    </row>
    <row r="273" ht="14.25" customHeight="1">
      <c r="A273" s="4"/>
      <c r="B273" s="4"/>
      <c r="C273" s="4"/>
      <c r="D273" s="4"/>
      <c r="E273" s="4"/>
      <c r="F273" s="4"/>
    </row>
    <row r="274" ht="14.25" customHeight="1">
      <c r="A274" s="4"/>
      <c r="B274" s="4"/>
      <c r="C274" s="4"/>
      <c r="D274" s="4"/>
      <c r="E274" s="4"/>
      <c r="F274" s="4"/>
    </row>
    <row r="275" ht="14.25" customHeight="1">
      <c r="A275" s="4"/>
      <c r="B275" s="4"/>
      <c r="C275" s="4"/>
      <c r="D275" s="4"/>
      <c r="E275" s="4"/>
      <c r="F275" s="4"/>
    </row>
    <row r="276" ht="14.25" customHeight="1">
      <c r="A276" s="4"/>
      <c r="B276" s="4"/>
      <c r="C276" s="4"/>
      <c r="D276" s="4"/>
      <c r="E276" s="4"/>
      <c r="F276" s="4"/>
    </row>
    <row r="277" ht="14.25" customHeight="1">
      <c r="A277" s="4"/>
      <c r="B277" s="4"/>
      <c r="C277" s="4"/>
      <c r="D277" s="4"/>
      <c r="E277" s="4"/>
      <c r="F277" s="4"/>
    </row>
    <row r="278" ht="14.25" customHeight="1">
      <c r="A278" s="4"/>
      <c r="B278" s="4"/>
      <c r="C278" s="4"/>
      <c r="D278" s="4"/>
      <c r="E278" s="4"/>
      <c r="F278" s="4"/>
    </row>
    <row r="279" ht="14.25" customHeight="1">
      <c r="A279" s="4"/>
      <c r="B279" s="4"/>
      <c r="C279" s="4"/>
      <c r="D279" s="4"/>
      <c r="E279" s="4"/>
      <c r="F279" s="4"/>
    </row>
    <row r="280" ht="14.25" customHeight="1">
      <c r="A280" s="4"/>
      <c r="B280" s="4"/>
      <c r="C280" s="4"/>
      <c r="D280" s="4"/>
      <c r="E280" s="4"/>
      <c r="F280" s="4"/>
    </row>
    <row r="281" ht="14.25" customHeight="1">
      <c r="A281" s="4"/>
      <c r="B281" s="4"/>
      <c r="C281" s="4"/>
      <c r="D281" s="4"/>
      <c r="E281" s="4"/>
      <c r="F281" s="4"/>
    </row>
    <row r="282" ht="14.25" customHeight="1">
      <c r="A282" s="4"/>
      <c r="B282" s="4"/>
      <c r="C282" s="4"/>
      <c r="D282" s="4"/>
      <c r="E282" s="4"/>
      <c r="F282" s="4"/>
    </row>
    <row r="283" ht="14.25" customHeight="1">
      <c r="A283" s="4"/>
      <c r="B283" s="4"/>
      <c r="C283" s="4"/>
      <c r="D283" s="4"/>
      <c r="E283" s="4"/>
      <c r="F283" s="4"/>
    </row>
    <row r="284" ht="14.25" customHeight="1">
      <c r="A284" s="4"/>
      <c r="B284" s="4"/>
      <c r="C284" s="4"/>
      <c r="D284" s="4"/>
      <c r="E284" s="4"/>
      <c r="F284" s="4"/>
    </row>
    <row r="285" ht="14.25" customHeight="1">
      <c r="A285" s="4"/>
      <c r="B285" s="4"/>
      <c r="C285" s="4"/>
      <c r="D285" s="4"/>
      <c r="E285" s="4"/>
      <c r="F285" s="4"/>
    </row>
    <row r="286" ht="14.25" customHeight="1">
      <c r="A286" s="4"/>
      <c r="B286" s="4"/>
      <c r="C286" s="4"/>
      <c r="D286" s="4"/>
      <c r="E286" s="4"/>
      <c r="F286" s="4"/>
    </row>
    <row r="287" ht="14.25" customHeight="1">
      <c r="A287" s="4"/>
      <c r="B287" s="4"/>
      <c r="C287" s="4"/>
      <c r="D287" s="4"/>
      <c r="E287" s="4"/>
      <c r="F287" s="4"/>
    </row>
    <row r="288" ht="14.25" customHeight="1">
      <c r="A288" s="4"/>
      <c r="B288" s="4"/>
      <c r="C288" s="4"/>
      <c r="D288" s="4"/>
      <c r="E288" s="4"/>
      <c r="F288" s="4"/>
    </row>
    <row r="289" ht="14.25" customHeight="1">
      <c r="A289" s="4"/>
      <c r="B289" s="4"/>
      <c r="C289" s="4"/>
      <c r="D289" s="4"/>
      <c r="E289" s="4"/>
      <c r="F289" s="4"/>
    </row>
    <row r="290" ht="14.25" customHeight="1">
      <c r="A290" s="4"/>
      <c r="B290" s="4"/>
      <c r="C290" s="4"/>
      <c r="D290" s="4"/>
      <c r="E290" s="4"/>
      <c r="F290" s="4"/>
    </row>
    <row r="291" ht="14.25" customHeight="1">
      <c r="A291" s="4"/>
      <c r="B291" s="4"/>
      <c r="C291" s="4"/>
      <c r="D291" s="4"/>
      <c r="E291" s="4"/>
      <c r="F291" s="4"/>
    </row>
    <row r="292" ht="14.25" customHeight="1">
      <c r="A292" s="4"/>
      <c r="B292" s="4"/>
      <c r="C292" s="4"/>
      <c r="D292" s="4"/>
      <c r="E292" s="4"/>
      <c r="F292" s="4"/>
    </row>
    <row r="293" ht="14.25" customHeight="1">
      <c r="A293" s="4"/>
      <c r="B293" s="4"/>
      <c r="C293" s="4"/>
      <c r="D293" s="4"/>
      <c r="E293" s="4"/>
      <c r="F293" s="4"/>
    </row>
    <row r="294" ht="14.25" customHeight="1">
      <c r="A294" s="4"/>
      <c r="B294" s="4"/>
      <c r="C294" s="4"/>
      <c r="D294" s="4"/>
      <c r="E294" s="4"/>
      <c r="F294" s="4"/>
    </row>
    <row r="295" ht="14.25" customHeight="1">
      <c r="A295" s="4"/>
      <c r="B295" s="4"/>
      <c r="C295" s="4"/>
      <c r="D295" s="4"/>
      <c r="E295" s="4"/>
      <c r="F295" s="4"/>
    </row>
    <row r="296" ht="14.25" customHeight="1">
      <c r="A296" s="4"/>
      <c r="B296" s="4"/>
      <c r="C296" s="4"/>
      <c r="D296" s="4"/>
      <c r="E296" s="4"/>
      <c r="F296" s="4"/>
    </row>
    <row r="297" ht="14.25" customHeight="1">
      <c r="A297" s="4"/>
      <c r="B297" s="4"/>
      <c r="C297" s="4"/>
      <c r="D297" s="4"/>
      <c r="E297" s="4"/>
      <c r="F297" s="4"/>
    </row>
    <row r="298" ht="14.25" customHeight="1">
      <c r="A298" s="4"/>
      <c r="B298" s="4"/>
      <c r="C298" s="4"/>
      <c r="D298" s="4"/>
      <c r="E298" s="4"/>
      <c r="F298" s="4"/>
    </row>
    <row r="299" ht="14.25" customHeight="1">
      <c r="A299" s="4"/>
      <c r="B299" s="4"/>
      <c r="C299" s="4"/>
      <c r="D299" s="4"/>
      <c r="E299" s="4"/>
      <c r="F299" s="4"/>
    </row>
    <row r="300" ht="14.25" customHeight="1">
      <c r="A300" s="4"/>
      <c r="B300" s="4"/>
      <c r="C300" s="4"/>
      <c r="D300" s="4"/>
      <c r="E300" s="4"/>
      <c r="F300" s="4"/>
    </row>
    <row r="301" ht="14.25" customHeight="1">
      <c r="A301" s="4"/>
      <c r="B301" s="4"/>
      <c r="C301" s="4"/>
      <c r="D301" s="4"/>
      <c r="E301" s="4"/>
      <c r="F301" s="4"/>
    </row>
    <row r="302" ht="14.25" customHeight="1">
      <c r="A302" s="4"/>
      <c r="B302" s="4"/>
      <c r="C302" s="4"/>
      <c r="D302" s="4"/>
      <c r="E302" s="4"/>
      <c r="F302" s="4"/>
    </row>
    <row r="303" ht="14.25" customHeight="1">
      <c r="A303" s="4"/>
      <c r="B303" s="4"/>
      <c r="C303" s="4"/>
      <c r="D303" s="4"/>
      <c r="E303" s="4"/>
      <c r="F303" s="4"/>
    </row>
    <row r="304" ht="14.25" customHeight="1">
      <c r="A304" s="4"/>
      <c r="B304" s="4"/>
      <c r="C304" s="4"/>
      <c r="D304" s="4"/>
      <c r="E304" s="4"/>
      <c r="F304" s="4"/>
    </row>
    <row r="305" ht="14.25" customHeight="1">
      <c r="A305" s="4"/>
      <c r="B305" s="4"/>
      <c r="C305" s="4"/>
      <c r="D305" s="4"/>
      <c r="E305" s="4"/>
      <c r="F305" s="4"/>
    </row>
    <row r="306" ht="14.25" customHeight="1">
      <c r="A306" s="4"/>
      <c r="B306" s="4"/>
      <c r="C306" s="4"/>
      <c r="D306" s="4"/>
      <c r="E306" s="4"/>
      <c r="F306" s="4"/>
    </row>
    <row r="307" ht="14.25" customHeight="1">
      <c r="A307" s="4"/>
      <c r="B307" s="4"/>
      <c r="C307" s="4"/>
      <c r="D307" s="4"/>
      <c r="E307" s="4"/>
      <c r="F307" s="4"/>
    </row>
    <row r="308" ht="14.25" customHeight="1">
      <c r="A308" s="4"/>
      <c r="B308" s="4"/>
      <c r="C308" s="4"/>
      <c r="D308" s="4"/>
      <c r="E308" s="4"/>
      <c r="F308" s="4"/>
    </row>
    <row r="309" ht="14.25" customHeight="1">
      <c r="A309" s="4"/>
      <c r="B309" s="4"/>
      <c r="C309" s="4"/>
      <c r="D309" s="4"/>
      <c r="E309" s="4"/>
      <c r="F309" s="4"/>
    </row>
    <row r="310" ht="14.25" customHeight="1">
      <c r="A310" s="4"/>
      <c r="B310" s="4"/>
      <c r="C310" s="4"/>
      <c r="D310" s="4"/>
      <c r="E310" s="4"/>
      <c r="F310" s="4"/>
    </row>
    <row r="311" ht="14.25" customHeight="1">
      <c r="A311" s="4"/>
      <c r="B311" s="4"/>
      <c r="C311" s="4"/>
      <c r="D311" s="4"/>
      <c r="E311" s="4"/>
      <c r="F311" s="4"/>
    </row>
    <row r="312" ht="14.25" customHeight="1">
      <c r="A312" s="4"/>
      <c r="B312" s="4"/>
      <c r="C312" s="4"/>
      <c r="D312" s="4"/>
      <c r="E312" s="4"/>
      <c r="F312" s="4"/>
    </row>
    <row r="313" ht="14.25" customHeight="1">
      <c r="A313" s="4"/>
      <c r="B313" s="4"/>
      <c r="C313" s="4"/>
      <c r="D313" s="4"/>
      <c r="E313" s="4"/>
      <c r="F313" s="4"/>
    </row>
    <row r="314" ht="14.25" customHeight="1">
      <c r="A314" s="4"/>
      <c r="B314" s="4"/>
      <c r="C314" s="4"/>
      <c r="D314" s="4"/>
      <c r="E314" s="4"/>
      <c r="F314" s="4"/>
    </row>
    <row r="315" ht="14.25" customHeight="1">
      <c r="A315" s="4"/>
      <c r="B315" s="4"/>
      <c r="C315" s="4"/>
      <c r="D315" s="4"/>
      <c r="E315" s="4"/>
      <c r="F315" s="4"/>
    </row>
    <row r="316" ht="14.25" customHeight="1">
      <c r="A316" s="4"/>
      <c r="B316" s="4"/>
      <c r="C316" s="4"/>
      <c r="D316" s="4"/>
      <c r="E316" s="4"/>
      <c r="F316" s="4"/>
    </row>
    <row r="317" ht="14.25" customHeight="1">
      <c r="A317" s="4"/>
      <c r="B317" s="4"/>
      <c r="C317" s="4"/>
      <c r="D317" s="4"/>
      <c r="E317" s="4"/>
      <c r="F317" s="4"/>
    </row>
    <row r="318" ht="14.25" customHeight="1">
      <c r="A318" s="4"/>
      <c r="B318" s="4"/>
      <c r="C318" s="4"/>
      <c r="D318" s="4"/>
      <c r="E318" s="4"/>
      <c r="F318" s="4"/>
    </row>
    <row r="319" ht="14.25" customHeight="1">
      <c r="A319" s="4"/>
      <c r="B319" s="4"/>
      <c r="C319" s="4"/>
      <c r="D319" s="4"/>
      <c r="E319" s="4"/>
      <c r="F319" s="4"/>
    </row>
    <row r="320" ht="14.25" customHeight="1">
      <c r="A320" s="4"/>
      <c r="B320" s="4"/>
      <c r="C320" s="4"/>
      <c r="D320" s="4"/>
      <c r="E320" s="4"/>
      <c r="F320" s="4"/>
    </row>
    <row r="321" ht="14.25" customHeight="1">
      <c r="A321" s="4"/>
      <c r="B321" s="4"/>
      <c r="C321" s="4"/>
      <c r="D321" s="4"/>
      <c r="E321" s="4"/>
      <c r="F321" s="4"/>
    </row>
    <row r="322" ht="14.25" customHeight="1">
      <c r="A322" s="4"/>
      <c r="B322" s="4"/>
      <c r="C322" s="4"/>
      <c r="D322" s="4"/>
      <c r="E322" s="4"/>
      <c r="F322" s="4"/>
    </row>
    <row r="323" ht="14.25" customHeight="1">
      <c r="A323" s="4"/>
      <c r="B323" s="4"/>
      <c r="C323" s="4"/>
      <c r="D323" s="4"/>
      <c r="E323" s="4"/>
      <c r="F323" s="4"/>
    </row>
    <row r="324" ht="14.25" customHeight="1">
      <c r="A324" s="4"/>
      <c r="B324" s="4"/>
      <c r="C324" s="4"/>
      <c r="D324" s="4"/>
      <c r="E324" s="4"/>
      <c r="F324" s="4"/>
    </row>
    <row r="325" ht="14.25" customHeight="1">
      <c r="A325" s="4"/>
      <c r="B325" s="4"/>
      <c r="C325" s="4"/>
      <c r="D325" s="4"/>
      <c r="E325" s="4"/>
      <c r="F325" s="4"/>
    </row>
    <row r="326" ht="14.25" customHeight="1">
      <c r="A326" s="4"/>
      <c r="B326" s="4"/>
      <c r="C326" s="4"/>
      <c r="D326" s="4"/>
      <c r="E326" s="4"/>
      <c r="F326" s="4"/>
    </row>
    <row r="327" ht="14.25" customHeight="1">
      <c r="A327" s="4"/>
      <c r="B327" s="4"/>
      <c r="C327" s="4"/>
      <c r="D327" s="4"/>
      <c r="E327" s="4"/>
      <c r="F327" s="4"/>
    </row>
    <row r="328" ht="14.25" customHeight="1">
      <c r="A328" s="4"/>
      <c r="B328" s="4"/>
      <c r="C328" s="4"/>
      <c r="D328" s="4"/>
      <c r="E328" s="4"/>
      <c r="F328" s="4"/>
    </row>
    <row r="329" ht="14.25" customHeight="1">
      <c r="A329" s="4"/>
      <c r="B329" s="4"/>
      <c r="C329" s="4"/>
      <c r="D329" s="4"/>
      <c r="E329" s="4"/>
      <c r="F329" s="4"/>
    </row>
    <row r="330" ht="14.25" customHeight="1">
      <c r="A330" s="4"/>
      <c r="B330" s="4"/>
      <c r="C330" s="4"/>
      <c r="D330" s="4"/>
      <c r="E330" s="4"/>
      <c r="F330" s="4"/>
    </row>
    <row r="331" ht="14.25" customHeight="1">
      <c r="A331" s="4"/>
      <c r="B331" s="4"/>
      <c r="C331" s="4"/>
      <c r="D331" s="4"/>
      <c r="E331" s="4"/>
      <c r="F331" s="4"/>
    </row>
    <row r="332" ht="14.25" customHeight="1">
      <c r="A332" s="4"/>
      <c r="B332" s="4"/>
      <c r="C332" s="4"/>
      <c r="D332" s="4"/>
      <c r="E332" s="4"/>
      <c r="F332" s="4"/>
    </row>
    <row r="333" ht="14.25" customHeight="1">
      <c r="A333" s="4"/>
      <c r="B333" s="4"/>
      <c r="C333" s="4"/>
      <c r="D333" s="4"/>
      <c r="E333" s="4"/>
      <c r="F333" s="4"/>
    </row>
    <row r="334" ht="14.25" customHeight="1">
      <c r="A334" s="4"/>
      <c r="B334" s="4"/>
      <c r="C334" s="4"/>
      <c r="D334" s="4"/>
      <c r="E334" s="4"/>
      <c r="F334" s="4"/>
    </row>
    <row r="335" ht="14.25" customHeight="1">
      <c r="A335" s="4"/>
      <c r="B335" s="4"/>
      <c r="C335" s="4"/>
      <c r="D335" s="4"/>
      <c r="E335" s="4"/>
      <c r="F335" s="4"/>
    </row>
    <row r="336" ht="14.25" customHeight="1">
      <c r="A336" s="4"/>
      <c r="B336" s="4"/>
      <c r="C336" s="4"/>
      <c r="D336" s="4"/>
      <c r="E336" s="4"/>
      <c r="F336" s="4"/>
    </row>
    <row r="337" ht="14.25" customHeight="1">
      <c r="A337" s="4"/>
      <c r="B337" s="4"/>
      <c r="C337" s="4"/>
      <c r="D337" s="4"/>
      <c r="E337" s="4"/>
      <c r="F337" s="4"/>
    </row>
    <row r="338" ht="14.25" customHeight="1">
      <c r="A338" s="4"/>
      <c r="B338" s="4"/>
      <c r="C338" s="4"/>
      <c r="D338" s="4"/>
      <c r="E338" s="4"/>
      <c r="F338" s="4"/>
    </row>
    <row r="339" ht="14.25" customHeight="1">
      <c r="A339" s="4"/>
      <c r="B339" s="4"/>
      <c r="C339" s="4"/>
      <c r="D339" s="4"/>
      <c r="E339" s="4"/>
      <c r="F339" s="4"/>
    </row>
    <row r="340" ht="14.25" customHeight="1">
      <c r="A340" s="4"/>
      <c r="B340" s="4"/>
      <c r="C340" s="4"/>
      <c r="D340" s="4"/>
      <c r="E340" s="4"/>
      <c r="F340" s="4"/>
    </row>
    <row r="341" ht="14.25" customHeight="1">
      <c r="A341" s="4"/>
      <c r="B341" s="4"/>
      <c r="C341" s="4"/>
      <c r="D341" s="4"/>
      <c r="E341" s="4"/>
      <c r="F341" s="4"/>
    </row>
    <row r="342" ht="14.25" customHeight="1">
      <c r="A342" s="4"/>
      <c r="B342" s="4"/>
      <c r="C342" s="4"/>
      <c r="D342" s="4"/>
      <c r="E342" s="4"/>
      <c r="F342" s="4"/>
    </row>
    <row r="343" ht="14.25" customHeight="1">
      <c r="A343" s="4"/>
      <c r="B343" s="4"/>
      <c r="C343" s="4"/>
      <c r="D343" s="4"/>
      <c r="E343" s="4"/>
      <c r="F343" s="4"/>
    </row>
    <row r="344" ht="14.25" customHeight="1">
      <c r="A344" s="4"/>
      <c r="B344" s="4"/>
      <c r="C344" s="4"/>
      <c r="D344" s="4"/>
      <c r="E344" s="4"/>
      <c r="F344" s="4"/>
    </row>
    <row r="345" ht="14.25" customHeight="1">
      <c r="A345" s="4"/>
      <c r="B345" s="4"/>
      <c r="C345" s="4"/>
      <c r="D345" s="4"/>
      <c r="E345" s="4"/>
      <c r="F345" s="4"/>
    </row>
    <row r="346" ht="14.25" customHeight="1">
      <c r="A346" s="4"/>
      <c r="B346" s="4"/>
      <c r="C346" s="4"/>
      <c r="D346" s="4"/>
      <c r="E346" s="4"/>
      <c r="F346" s="4"/>
    </row>
    <row r="347" ht="14.25" customHeight="1">
      <c r="A347" s="4"/>
      <c r="B347" s="4"/>
      <c r="C347" s="4"/>
      <c r="D347" s="4"/>
      <c r="E347" s="4"/>
      <c r="F347" s="4"/>
    </row>
    <row r="348" ht="14.25" customHeight="1">
      <c r="A348" s="4"/>
      <c r="B348" s="4"/>
      <c r="C348" s="4"/>
      <c r="D348" s="4"/>
      <c r="E348" s="4"/>
      <c r="F348" s="4"/>
    </row>
    <row r="349" ht="14.25" customHeight="1">
      <c r="A349" s="4"/>
      <c r="B349" s="4"/>
      <c r="C349" s="4"/>
      <c r="D349" s="4"/>
      <c r="E349" s="4"/>
      <c r="F349" s="4"/>
    </row>
    <row r="350" ht="14.25" customHeight="1">
      <c r="A350" s="4"/>
      <c r="B350" s="4"/>
      <c r="C350" s="4"/>
      <c r="D350" s="4"/>
      <c r="E350" s="4"/>
      <c r="F350" s="4"/>
    </row>
    <row r="351" ht="14.25" customHeight="1">
      <c r="A351" s="4"/>
      <c r="B351" s="4"/>
      <c r="C351" s="4"/>
      <c r="D351" s="4"/>
      <c r="E351" s="4"/>
      <c r="F351" s="4"/>
    </row>
    <row r="352" ht="14.25" customHeight="1">
      <c r="A352" s="4"/>
      <c r="B352" s="4"/>
      <c r="C352" s="4"/>
      <c r="D352" s="4"/>
      <c r="E352" s="4"/>
      <c r="F352" s="4"/>
    </row>
    <row r="353" ht="14.25" customHeight="1">
      <c r="A353" s="4"/>
      <c r="B353" s="4"/>
      <c r="C353" s="4"/>
      <c r="D353" s="4"/>
      <c r="E353" s="4"/>
      <c r="F353" s="4"/>
    </row>
    <row r="354" ht="14.25" customHeight="1">
      <c r="A354" s="4"/>
      <c r="B354" s="4"/>
      <c r="C354" s="4"/>
      <c r="D354" s="4"/>
      <c r="E354" s="4"/>
      <c r="F354" s="4"/>
    </row>
    <row r="355" ht="14.25" customHeight="1">
      <c r="A355" s="4"/>
      <c r="B355" s="4"/>
      <c r="C355" s="4"/>
      <c r="D355" s="4"/>
      <c r="E355" s="4"/>
      <c r="F355" s="4"/>
    </row>
    <row r="356" ht="14.25" customHeight="1">
      <c r="A356" s="4"/>
      <c r="B356" s="4"/>
      <c r="C356" s="4"/>
      <c r="D356" s="4"/>
      <c r="E356" s="4"/>
      <c r="F356" s="4"/>
    </row>
    <row r="357" ht="14.25" customHeight="1">
      <c r="A357" s="4"/>
      <c r="B357" s="4"/>
      <c r="C357" s="4"/>
      <c r="D357" s="4"/>
      <c r="E357" s="4"/>
      <c r="F357" s="4"/>
    </row>
    <row r="358" ht="14.25" customHeight="1">
      <c r="A358" s="4"/>
      <c r="B358" s="4"/>
      <c r="C358" s="4"/>
      <c r="D358" s="4"/>
      <c r="E358" s="4"/>
      <c r="F358" s="4"/>
    </row>
    <row r="359" ht="14.25" customHeight="1">
      <c r="A359" s="4"/>
      <c r="B359" s="4"/>
      <c r="C359" s="4"/>
      <c r="D359" s="4"/>
      <c r="E359" s="4"/>
      <c r="F359" s="4"/>
    </row>
    <row r="360" ht="14.25" customHeight="1">
      <c r="A360" s="4"/>
      <c r="B360" s="4"/>
      <c r="C360" s="4"/>
      <c r="D360" s="4"/>
      <c r="E360" s="4"/>
      <c r="F360" s="4"/>
    </row>
    <row r="361" ht="14.25" customHeight="1">
      <c r="A361" s="4"/>
      <c r="B361" s="4"/>
      <c r="C361" s="4"/>
      <c r="D361" s="4"/>
      <c r="E361" s="4"/>
      <c r="F361" s="4"/>
    </row>
    <row r="362" ht="14.25" customHeight="1">
      <c r="A362" s="4"/>
      <c r="B362" s="4"/>
      <c r="C362" s="4"/>
      <c r="D362" s="4"/>
      <c r="E362" s="4"/>
      <c r="F362" s="4"/>
    </row>
    <row r="363" ht="14.25" customHeight="1">
      <c r="A363" s="4"/>
      <c r="B363" s="4"/>
      <c r="C363" s="4"/>
      <c r="D363" s="4"/>
      <c r="E363" s="4"/>
      <c r="F363" s="4"/>
    </row>
    <row r="364" ht="14.25" customHeight="1">
      <c r="A364" s="4"/>
      <c r="B364" s="4"/>
      <c r="C364" s="4"/>
      <c r="D364" s="4"/>
      <c r="E364" s="4"/>
      <c r="F364" s="4"/>
    </row>
    <row r="365" ht="14.25" customHeight="1">
      <c r="A365" s="4"/>
      <c r="B365" s="4"/>
      <c r="C365" s="4"/>
      <c r="D365" s="4"/>
      <c r="E365" s="4"/>
      <c r="F365" s="4"/>
    </row>
    <row r="366" ht="14.25" customHeight="1">
      <c r="A366" s="4"/>
      <c r="B366" s="4"/>
      <c r="C366" s="4"/>
      <c r="D366" s="4"/>
      <c r="E366" s="4"/>
      <c r="F366" s="4"/>
    </row>
    <row r="367" ht="14.25" customHeight="1">
      <c r="A367" s="4"/>
      <c r="B367" s="4"/>
      <c r="C367" s="4"/>
      <c r="D367" s="4"/>
      <c r="E367" s="4"/>
      <c r="F367" s="4"/>
    </row>
    <row r="368" ht="14.25" customHeight="1">
      <c r="A368" s="4"/>
      <c r="B368" s="4"/>
      <c r="C368" s="4"/>
      <c r="D368" s="4"/>
      <c r="E368" s="4"/>
      <c r="F368" s="4"/>
    </row>
    <row r="369" ht="14.25" customHeight="1">
      <c r="A369" s="4"/>
      <c r="B369" s="4"/>
      <c r="C369" s="4"/>
      <c r="D369" s="4"/>
      <c r="E369" s="4"/>
      <c r="F369" s="4"/>
    </row>
    <row r="370" ht="14.25" customHeight="1">
      <c r="A370" s="4"/>
      <c r="B370" s="4"/>
      <c r="C370" s="4"/>
      <c r="D370" s="4"/>
      <c r="E370" s="4"/>
      <c r="F370" s="4"/>
    </row>
    <row r="371" ht="14.25" customHeight="1">
      <c r="A371" s="4"/>
      <c r="B371" s="4"/>
      <c r="C371" s="4"/>
      <c r="D371" s="4"/>
      <c r="E371" s="4"/>
      <c r="F371" s="4"/>
    </row>
    <row r="372" ht="14.25" customHeight="1">
      <c r="A372" s="4"/>
      <c r="B372" s="4"/>
      <c r="C372" s="4"/>
      <c r="D372" s="4"/>
      <c r="E372" s="4"/>
      <c r="F372" s="4"/>
    </row>
    <row r="373" ht="14.25" customHeight="1">
      <c r="A373" s="4"/>
      <c r="B373" s="4"/>
      <c r="C373" s="4"/>
      <c r="D373" s="4"/>
      <c r="E373" s="4"/>
      <c r="F373" s="4"/>
    </row>
    <row r="374" ht="14.25" customHeight="1">
      <c r="A374" s="4"/>
      <c r="B374" s="4"/>
      <c r="C374" s="4"/>
      <c r="D374" s="4"/>
      <c r="E374" s="4"/>
      <c r="F374" s="4"/>
    </row>
    <row r="375" ht="14.25" customHeight="1">
      <c r="A375" s="4"/>
      <c r="B375" s="4"/>
      <c r="C375" s="4"/>
      <c r="D375" s="4"/>
      <c r="E375" s="4"/>
      <c r="F375" s="4"/>
    </row>
    <row r="376" ht="14.25" customHeight="1">
      <c r="A376" s="4"/>
      <c r="B376" s="4"/>
      <c r="C376" s="4"/>
      <c r="D376" s="4"/>
      <c r="E376" s="4"/>
      <c r="F376" s="4"/>
    </row>
    <row r="377" ht="14.25" customHeight="1">
      <c r="A377" s="4"/>
      <c r="B377" s="4"/>
      <c r="C377" s="4"/>
      <c r="D377" s="4"/>
      <c r="E377" s="4"/>
      <c r="F377" s="4"/>
    </row>
    <row r="378" ht="14.25" customHeight="1">
      <c r="A378" s="4"/>
      <c r="B378" s="4"/>
      <c r="C378" s="4"/>
      <c r="D378" s="4"/>
      <c r="E378" s="4"/>
      <c r="F378" s="4"/>
    </row>
    <row r="379" ht="14.25" customHeight="1">
      <c r="A379" s="4"/>
      <c r="B379" s="4"/>
      <c r="C379" s="4"/>
      <c r="D379" s="4"/>
      <c r="E379" s="4"/>
      <c r="F379" s="4"/>
    </row>
    <row r="380" ht="14.25" customHeight="1">
      <c r="A380" s="4"/>
      <c r="B380" s="4"/>
      <c r="C380" s="4"/>
      <c r="D380" s="4"/>
      <c r="E380" s="4"/>
      <c r="F380" s="4"/>
    </row>
    <row r="381" ht="14.25" customHeight="1">
      <c r="A381" s="4"/>
      <c r="B381" s="4"/>
      <c r="C381" s="4"/>
      <c r="D381" s="4"/>
      <c r="E381" s="4"/>
      <c r="F381" s="4"/>
    </row>
    <row r="382" ht="14.25" customHeight="1">
      <c r="A382" s="4"/>
      <c r="B382" s="4"/>
      <c r="C382" s="4"/>
      <c r="D382" s="4"/>
      <c r="E382" s="4"/>
      <c r="F382" s="4"/>
    </row>
    <row r="383" ht="14.25" customHeight="1">
      <c r="A383" s="4"/>
      <c r="B383" s="4"/>
      <c r="C383" s="4"/>
      <c r="D383" s="4"/>
      <c r="E383" s="4"/>
      <c r="F383" s="4"/>
    </row>
    <row r="384" ht="14.25" customHeight="1">
      <c r="A384" s="4"/>
      <c r="B384" s="4"/>
      <c r="C384" s="4"/>
      <c r="D384" s="4"/>
      <c r="E384" s="4"/>
      <c r="F384" s="4"/>
    </row>
    <row r="385" ht="14.25" customHeight="1">
      <c r="A385" s="4"/>
      <c r="B385" s="4"/>
      <c r="C385" s="4"/>
      <c r="D385" s="4"/>
      <c r="E385" s="4"/>
      <c r="F385" s="4"/>
    </row>
    <row r="386" ht="14.25" customHeight="1">
      <c r="A386" s="4"/>
      <c r="B386" s="4"/>
      <c r="C386" s="4"/>
      <c r="D386" s="4"/>
      <c r="E386" s="4"/>
      <c r="F386" s="4"/>
    </row>
    <row r="387" ht="14.25" customHeight="1">
      <c r="A387" s="4"/>
      <c r="B387" s="4"/>
      <c r="C387" s="4"/>
      <c r="D387" s="4"/>
      <c r="E387" s="4"/>
      <c r="F387" s="4"/>
    </row>
    <row r="388" ht="14.25" customHeight="1">
      <c r="A388" s="4"/>
      <c r="B388" s="4"/>
      <c r="C388" s="4"/>
      <c r="D388" s="4"/>
      <c r="E388" s="4"/>
      <c r="F388" s="4"/>
    </row>
    <row r="389" ht="14.25" customHeight="1">
      <c r="A389" s="4"/>
      <c r="B389" s="4"/>
      <c r="C389" s="4"/>
      <c r="D389" s="4"/>
      <c r="E389" s="4"/>
      <c r="F389" s="4"/>
    </row>
    <row r="390" ht="14.25" customHeight="1">
      <c r="A390" s="4"/>
      <c r="B390" s="4"/>
      <c r="C390" s="4"/>
      <c r="D390" s="4"/>
      <c r="E390" s="4"/>
      <c r="F390" s="4"/>
    </row>
    <row r="391" ht="14.25" customHeight="1">
      <c r="A391" s="4"/>
      <c r="B391" s="4"/>
      <c r="C391" s="4"/>
      <c r="D391" s="4"/>
      <c r="E391" s="4"/>
      <c r="F391" s="4"/>
    </row>
    <row r="392" ht="14.25" customHeight="1">
      <c r="A392" s="4"/>
      <c r="B392" s="4"/>
      <c r="C392" s="4"/>
      <c r="D392" s="4"/>
      <c r="E392" s="4"/>
      <c r="F392" s="4"/>
    </row>
    <row r="393" ht="14.25" customHeight="1">
      <c r="A393" s="4"/>
      <c r="B393" s="4"/>
      <c r="C393" s="4"/>
      <c r="D393" s="4"/>
      <c r="E393" s="4"/>
      <c r="F393" s="4"/>
    </row>
    <row r="394" ht="14.25" customHeight="1">
      <c r="A394" s="4"/>
      <c r="B394" s="4"/>
      <c r="C394" s="4"/>
      <c r="D394" s="4"/>
      <c r="E394" s="4"/>
      <c r="F394" s="4"/>
    </row>
    <row r="395" ht="14.25" customHeight="1">
      <c r="A395" s="4"/>
      <c r="B395" s="4"/>
      <c r="C395" s="4"/>
      <c r="D395" s="4"/>
      <c r="E395" s="4"/>
      <c r="F395" s="4"/>
    </row>
    <row r="396" ht="14.25" customHeight="1">
      <c r="A396" s="4"/>
      <c r="B396" s="4"/>
      <c r="C396" s="4"/>
      <c r="D396" s="4"/>
      <c r="E396" s="4"/>
      <c r="F396" s="4"/>
    </row>
    <row r="397" ht="14.25" customHeight="1">
      <c r="A397" s="4"/>
      <c r="B397" s="4"/>
      <c r="C397" s="4"/>
      <c r="D397" s="4"/>
      <c r="E397" s="4"/>
      <c r="F397" s="4"/>
    </row>
    <row r="398" ht="14.25" customHeight="1">
      <c r="A398" s="4"/>
      <c r="B398" s="4"/>
      <c r="C398" s="4"/>
      <c r="D398" s="4"/>
      <c r="E398" s="4"/>
      <c r="F398" s="4"/>
    </row>
    <row r="399" ht="14.25" customHeight="1">
      <c r="A399" s="4"/>
      <c r="B399" s="4"/>
      <c r="C399" s="4"/>
      <c r="D399" s="4"/>
      <c r="E399" s="4"/>
      <c r="F399" s="4"/>
    </row>
    <row r="400" ht="14.25" customHeight="1">
      <c r="A400" s="4"/>
      <c r="B400" s="4"/>
      <c r="C400" s="4"/>
      <c r="D400" s="4"/>
      <c r="E400" s="4"/>
      <c r="F400" s="4"/>
    </row>
    <row r="401" ht="14.25" customHeight="1">
      <c r="A401" s="4"/>
      <c r="B401" s="4"/>
      <c r="C401" s="4"/>
      <c r="D401" s="4"/>
      <c r="E401" s="4"/>
      <c r="F401" s="4"/>
    </row>
    <row r="402" ht="14.25" customHeight="1">
      <c r="A402" s="4"/>
      <c r="B402" s="4"/>
      <c r="C402" s="4"/>
      <c r="D402" s="4"/>
      <c r="E402" s="4"/>
      <c r="F402" s="4"/>
    </row>
    <row r="403" ht="14.25" customHeight="1">
      <c r="A403" s="4"/>
      <c r="B403" s="4"/>
      <c r="C403" s="4"/>
      <c r="D403" s="4"/>
      <c r="E403" s="4"/>
      <c r="F403" s="4"/>
    </row>
    <row r="404" ht="14.25" customHeight="1">
      <c r="A404" s="4"/>
      <c r="B404" s="4"/>
      <c r="C404" s="4"/>
      <c r="D404" s="4"/>
      <c r="E404" s="4"/>
      <c r="F404" s="4"/>
    </row>
    <row r="405" ht="14.25" customHeight="1">
      <c r="A405" s="4"/>
      <c r="B405" s="4"/>
      <c r="C405" s="4"/>
      <c r="D405" s="4"/>
      <c r="E405" s="4"/>
      <c r="F405" s="4"/>
    </row>
    <row r="406" ht="14.25" customHeight="1">
      <c r="A406" s="4"/>
      <c r="B406" s="4"/>
      <c r="C406" s="4"/>
      <c r="D406" s="4"/>
      <c r="E406" s="4"/>
      <c r="F406" s="4"/>
    </row>
    <row r="407" ht="14.25" customHeight="1">
      <c r="A407" s="4"/>
      <c r="B407" s="4"/>
      <c r="C407" s="4"/>
      <c r="D407" s="4"/>
      <c r="E407" s="4"/>
      <c r="F407" s="4"/>
    </row>
    <row r="408" ht="14.25" customHeight="1">
      <c r="A408" s="4"/>
      <c r="B408" s="4"/>
      <c r="C408" s="4"/>
      <c r="D408" s="4"/>
      <c r="E408" s="4"/>
      <c r="F408" s="4"/>
    </row>
    <row r="409" ht="14.25" customHeight="1">
      <c r="A409" s="4"/>
      <c r="B409" s="4"/>
      <c r="C409" s="4"/>
      <c r="D409" s="4"/>
      <c r="E409" s="4"/>
      <c r="F409" s="4"/>
    </row>
    <row r="410" ht="14.25" customHeight="1">
      <c r="A410" s="4"/>
      <c r="B410" s="4"/>
      <c r="C410" s="4"/>
      <c r="D410" s="4"/>
      <c r="E410" s="4"/>
      <c r="F410" s="4"/>
    </row>
    <row r="411" ht="14.25" customHeight="1">
      <c r="A411" s="4"/>
      <c r="B411" s="4"/>
      <c r="C411" s="4"/>
      <c r="D411" s="4"/>
      <c r="E411" s="4"/>
      <c r="F411" s="4"/>
    </row>
    <row r="412" ht="14.25" customHeight="1">
      <c r="A412" s="4"/>
      <c r="B412" s="4"/>
      <c r="C412" s="4"/>
      <c r="D412" s="4"/>
      <c r="E412" s="4"/>
      <c r="F412" s="4"/>
    </row>
    <row r="413" ht="14.25" customHeight="1">
      <c r="A413" s="4"/>
      <c r="B413" s="4"/>
      <c r="C413" s="4"/>
      <c r="D413" s="4"/>
      <c r="E413" s="4"/>
      <c r="F413" s="4"/>
    </row>
    <row r="414" ht="14.25" customHeight="1">
      <c r="A414" s="4"/>
      <c r="B414" s="4"/>
      <c r="C414" s="4"/>
      <c r="D414" s="4"/>
      <c r="E414" s="4"/>
      <c r="F414" s="4"/>
    </row>
    <row r="415" ht="14.25" customHeight="1">
      <c r="A415" s="4"/>
      <c r="B415" s="4"/>
      <c r="C415" s="4"/>
      <c r="D415" s="4"/>
      <c r="E415" s="4"/>
      <c r="F415" s="4"/>
    </row>
    <row r="416" ht="14.25" customHeight="1">
      <c r="A416" s="4"/>
      <c r="B416" s="4"/>
      <c r="C416" s="4"/>
      <c r="D416" s="4"/>
      <c r="E416" s="4"/>
      <c r="F416" s="4"/>
    </row>
    <row r="417" ht="14.25" customHeight="1">
      <c r="A417" s="4"/>
      <c r="B417" s="4"/>
      <c r="C417" s="4"/>
      <c r="D417" s="4"/>
      <c r="E417" s="4"/>
      <c r="F417" s="4"/>
    </row>
    <row r="418" ht="14.25" customHeight="1">
      <c r="A418" s="4"/>
      <c r="B418" s="4"/>
      <c r="C418" s="4"/>
      <c r="D418" s="4"/>
      <c r="E418" s="4"/>
      <c r="F418" s="4"/>
    </row>
    <row r="419" ht="14.25" customHeight="1">
      <c r="A419" s="4"/>
      <c r="B419" s="4"/>
      <c r="C419" s="4"/>
      <c r="D419" s="4"/>
      <c r="E419" s="4"/>
      <c r="F419" s="4"/>
    </row>
    <row r="420" ht="14.25" customHeight="1">
      <c r="A420" s="4"/>
      <c r="B420" s="4"/>
      <c r="C420" s="4"/>
      <c r="D420" s="4"/>
      <c r="E420" s="4"/>
      <c r="F420" s="4"/>
    </row>
    <row r="421" ht="14.25" customHeight="1">
      <c r="A421" s="4"/>
      <c r="B421" s="4"/>
      <c r="C421" s="4"/>
      <c r="D421" s="4"/>
      <c r="E421" s="4"/>
      <c r="F421" s="4"/>
    </row>
    <row r="422" ht="14.25" customHeight="1">
      <c r="A422" s="4"/>
      <c r="B422" s="4"/>
      <c r="C422" s="4"/>
      <c r="D422" s="4"/>
      <c r="E422" s="4"/>
      <c r="F422" s="4"/>
    </row>
    <row r="423" ht="14.25" customHeight="1">
      <c r="A423" s="4"/>
      <c r="B423" s="4"/>
      <c r="C423" s="4"/>
      <c r="D423" s="4"/>
      <c r="E423" s="4"/>
      <c r="F423" s="4"/>
    </row>
    <row r="424" ht="14.25" customHeight="1">
      <c r="A424" s="4"/>
      <c r="B424" s="4"/>
      <c r="C424" s="4"/>
      <c r="D424" s="4"/>
      <c r="E424" s="4"/>
      <c r="F424" s="4"/>
    </row>
    <row r="425" ht="14.25" customHeight="1">
      <c r="A425" s="4"/>
      <c r="B425" s="4"/>
      <c r="C425" s="4"/>
      <c r="D425" s="4"/>
      <c r="E425" s="4"/>
      <c r="F425" s="4"/>
    </row>
    <row r="426" ht="14.25" customHeight="1">
      <c r="A426" s="4"/>
      <c r="B426" s="4"/>
      <c r="C426" s="4"/>
      <c r="D426" s="4"/>
      <c r="E426" s="4"/>
      <c r="F426" s="4"/>
    </row>
    <row r="427" ht="14.25" customHeight="1">
      <c r="A427" s="4"/>
      <c r="B427" s="4"/>
      <c r="C427" s="4"/>
      <c r="D427" s="4"/>
      <c r="E427" s="4"/>
      <c r="F427" s="4"/>
    </row>
    <row r="428" ht="14.25" customHeight="1">
      <c r="A428" s="4"/>
      <c r="B428" s="4"/>
      <c r="C428" s="4"/>
      <c r="D428" s="4"/>
      <c r="E428" s="4"/>
      <c r="F428" s="4"/>
    </row>
    <row r="429" ht="14.25" customHeight="1">
      <c r="A429" s="4"/>
      <c r="B429" s="4"/>
      <c r="C429" s="4"/>
      <c r="D429" s="4"/>
      <c r="E429" s="4"/>
      <c r="F429" s="4"/>
    </row>
    <row r="430" ht="14.25" customHeight="1">
      <c r="A430" s="4"/>
      <c r="B430" s="4"/>
      <c r="C430" s="4"/>
      <c r="D430" s="4"/>
      <c r="E430" s="4"/>
      <c r="F430" s="4"/>
    </row>
    <row r="431" ht="14.25" customHeight="1">
      <c r="A431" s="4"/>
      <c r="B431" s="4"/>
      <c r="C431" s="4"/>
      <c r="D431" s="4"/>
      <c r="E431" s="4"/>
      <c r="F431" s="4"/>
    </row>
    <row r="432" ht="14.25" customHeight="1">
      <c r="A432" s="4"/>
      <c r="B432" s="4"/>
      <c r="C432" s="4"/>
      <c r="D432" s="4"/>
      <c r="E432" s="4"/>
      <c r="F432" s="4"/>
    </row>
    <row r="433" ht="14.25" customHeight="1">
      <c r="A433" s="4"/>
      <c r="B433" s="4"/>
      <c r="C433" s="4"/>
      <c r="D433" s="4"/>
      <c r="E433" s="4"/>
      <c r="F433" s="4"/>
    </row>
    <row r="434" ht="14.25" customHeight="1">
      <c r="A434" s="4"/>
      <c r="B434" s="4"/>
      <c r="C434" s="4"/>
      <c r="D434" s="4"/>
      <c r="E434" s="4"/>
      <c r="F434" s="4"/>
    </row>
    <row r="435" ht="14.25" customHeight="1">
      <c r="A435" s="4"/>
      <c r="B435" s="4"/>
      <c r="C435" s="4"/>
      <c r="D435" s="4"/>
      <c r="E435" s="4"/>
      <c r="F435" s="4"/>
    </row>
    <row r="436" ht="14.25" customHeight="1">
      <c r="A436" s="4"/>
      <c r="B436" s="4"/>
      <c r="C436" s="4"/>
      <c r="D436" s="4"/>
      <c r="E436" s="4"/>
      <c r="F436" s="4"/>
    </row>
    <row r="437" ht="14.25" customHeight="1">
      <c r="A437" s="4"/>
      <c r="B437" s="4"/>
      <c r="C437" s="4"/>
      <c r="D437" s="4"/>
      <c r="E437" s="4"/>
      <c r="F437" s="4"/>
    </row>
    <row r="438" ht="14.25" customHeight="1">
      <c r="A438" s="4"/>
      <c r="B438" s="4"/>
      <c r="C438" s="4"/>
      <c r="D438" s="4"/>
      <c r="E438" s="4"/>
      <c r="F438" s="4"/>
    </row>
    <row r="439" ht="14.25" customHeight="1">
      <c r="A439" s="4"/>
      <c r="B439" s="4"/>
      <c r="C439" s="4"/>
      <c r="D439" s="4"/>
      <c r="E439" s="4"/>
      <c r="F439" s="4"/>
    </row>
    <row r="440" ht="14.25" customHeight="1">
      <c r="A440" s="4"/>
      <c r="B440" s="4"/>
      <c r="C440" s="4"/>
      <c r="D440" s="4"/>
      <c r="E440" s="4"/>
      <c r="F440" s="4"/>
    </row>
    <row r="441" ht="14.25" customHeight="1">
      <c r="A441" s="4"/>
      <c r="B441" s="4"/>
      <c r="C441" s="4"/>
      <c r="D441" s="4"/>
      <c r="E441" s="4"/>
      <c r="F441" s="4"/>
    </row>
    <row r="442" ht="14.25" customHeight="1">
      <c r="A442" s="4"/>
      <c r="B442" s="4"/>
      <c r="C442" s="4"/>
      <c r="D442" s="4"/>
      <c r="E442" s="4"/>
      <c r="F442" s="4"/>
    </row>
    <row r="443" ht="14.25" customHeight="1">
      <c r="A443" s="4"/>
      <c r="B443" s="4"/>
      <c r="C443" s="4"/>
      <c r="D443" s="4"/>
      <c r="E443" s="4"/>
      <c r="F443" s="4"/>
    </row>
    <row r="444" ht="14.25" customHeight="1">
      <c r="A444" s="4"/>
      <c r="B444" s="4"/>
      <c r="C444" s="4"/>
      <c r="D444" s="4"/>
      <c r="E444" s="4"/>
      <c r="F444" s="4"/>
    </row>
    <row r="445" ht="14.25" customHeight="1">
      <c r="A445" s="4"/>
      <c r="B445" s="4"/>
      <c r="C445" s="4"/>
      <c r="D445" s="4"/>
      <c r="E445" s="4"/>
      <c r="F445" s="4"/>
    </row>
    <row r="446" ht="14.25" customHeight="1">
      <c r="A446" s="4"/>
      <c r="B446" s="4"/>
      <c r="C446" s="4"/>
      <c r="D446" s="4"/>
      <c r="E446" s="4"/>
      <c r="F446" s="4"/>
    </row>
    <row r="447" ht="14.25" customHeight="1">
      <c r="A447" s="4"/>
      <c r="B447" s="4"/>
      <c r="C447" s="4"/>
      <c r="D447" s="4"/>
      <c r="E447" s="4"/>
      <c r="F447" s="4"/>
    </row>
    <row r="448" ht="14.25" customHeight="1">
      <c r="A448" s="4"/>
      <c r="B448" s="4"/>
      <c r="C448" s="4"/>
      <c r="D448" s="4"/>
      <c r="E448" s="4"/>
      <c r="F448" s="4"/>
    </row>
    <row r="449" ht="14.25" customHeight="1">
      <c r="A449" s="4"/>
      <c r="B449" s="4"/>
      <c r="C449" s="4"/>
      <c r="D449" s="4"/>
      <c r="E449" s="4"/>
      <c r="F449" s="4"/>
    </row>
    <row r="450" ht="14.25" customHeight="1">
      <c r="A450" s="4"/>
      <c r="B450" s="4"/>
      <c r="C450" s="4"/>
      <c r="D450" s="4"/>
      <c r="E450" s="4"/>
      <c r="F450" s="4"/>
    </row>
    <row r="451" ht="14.25" customHeight="1">
      <c r="A451" s="4"/>
      <c r="B451" s="4"/>
      <c r="C451" s="4"/>
      <c r="D451" s="4"/>
      <c r="E451" s="4"/>
      <c r="F451" s="4"/>
    </row>
    <row r="452" ht="14.25" customHeight="1">
      <c r="A452" s="4"/>
      <c r="B452" s="4"/>
      <c r="C452" s="4"/>
      <c r="D452" s="4"/>
      <c r="E452" s="4"/>
      <c r="F452" s="4"/>
    </row>
    <row r="453" ht="14.25" customHeight="1">
      <c r="A453" s="4"/>
      <c r="B453" s="4"/>
      <c r="C453" s="4"/>
      <c r="D453" s="4"/>
      <c r="E453" s="4"/>
      <c r="F453" s="4"/>
    </row>
    <row r="454" ht="14.25" customHeight="1">
      <c r="A454" s="4"/>
      <c r="B454" s="4"/>
      <c r="C454" s="4"/>
      <c r="D454" s="4"/>
      <c r="E454" s="4"/>
      <c r="F454" s="4"/>
    </row>
    <row r="455" ht="14.25" customHeight="1">
      <c r="A455" s="4"/>
      <c r="B455" s="4"/>
      <c r="C455" s="4"/>
      <c r="D455" s="4"/>
      <c r="E455" s="4"/>
      <c r="F455" s="4"/>
    </row>
    <row r="456" ht="14.25" customHeight="1">
      <c r="A456" s="4"/>
      <c r="B456" s="4"/>
      <c r="C456" s="4"/>
      <c r="D456" s="4"/>
      <c r="E456" s="4"/>
      <c r="F456" s="4"/>
    </row>
    <row r="457" ht="14.25" customHeight="1">
      <c r="A457" s="4"/>
      <c r="B457" s="4"/>
      <c r="C457" s="4"/>
      <c r="D457" s="4"/>
      <c r="E457" s="4"/>
      <c r="F457" s="4"/>
    </row>
    <row r="458" ht="14.25" customHeight="1">
      <c r="A458" s="4"/>
      <c r="B458" s="4"/>
      <c r="C458" s="4"/>
      <c r="D458" s="4"/>
      <c r="E458" s="4"/>
      <c r="F458" s="4"/>
    </row>
    <row r="459" ht="14.25" customHeight="1">
      <c r="A459" s="4"/>
      <c r="B459" s="4"/>
      <c r="C459" s="4"/>
      <c r="D459" s="4"/>
      <c r="E459" s="4"/>
      <c r="F459" s="4"/>
    </row>
    <row r="460" ht="14.25" customHeight="1">
      <c r="A460" s="4"/>
      <c r="B460" s="4"/>
      <c r="C460" s="4"/>
      <c r="D460" s="4"/>
      <c r="E460" s="4"/>
      <c r="F460" s="4"/>
    </row>
    <row r="461" ht="14.25" customHeight="1">
      <c r="A461" s="4"/>
      <c r="B461" s="4"/>
      <c r="C461" s="4"/>
      <c r="D461" s="4"/>
      <c r="E461" s="4"/>
      <c r="F461" s="4"/>
    </row>
    <row r="462" ht="14.25" customHeight="1">
      <c r="A462" s="4"/>
      <c r="B462" s="4"/>
      <c r="C462" s="4"/>
      <c r="D462" s="4"/>
      <c r="E462" s="4"/>
      <c r="F462" s="4"/>
    </row>
    <row r="463" ht="14.25" customHeight="1">
      <c r="A463" s="4"/>
      <c r="B463" s="4"/>
      <c r="C463" s="4"/>
      <c r="D463" s="4"/>
      <c r="E463" s="4"/>
      <c r="F463" s="4"/>
    </row>
    <row r="464" ht="14.25" customHeight="1">
      <c r="A464" s="4"/>
      <c r="B464" s="4"/>
      <c r="C464" s="4"/>
      <c r="D464" s="4"/>
      <c r="E464" s="4"/>
      <c r="F464" s="4"/>
    </row>
    <row r="465" ht="14.25" customHeight="1">
      <c r="A465" s="4"/>
      <c r="B465" s="4"/>
      <c r="C465" s="4"/>
      <c r="D465" s="4"/>
      <c r="E465" s="4"/>
      <c r="F465" s="4"/>
    </row>
    <row r="466" ht="14.25" customHeight="1">
      <c r="A466" s="4"/>
      <c r="B466" s="4"/>
      <c r="C466" s="4"/>
      <c r="D466" s="4"/>
      <c r="E466" s="4"/>
      <c r="F466" s="4"/>
    </row>
    <row r="467" ht="14.25" customHeight="1">
      <c r="A467" s="4"/>
      <c r="B467" s="4"/>
      <c r="C467" s="4"/>
      <c r="D467" s="4"/>
      <c r="E467" s="4"/>
      <c r="F467" s="4"/>
    </row>
    <row r="468" ht="14.25" customHeight="1">
      <c r="A468" s="4"/>
      <c r="B468" s="4"/>
      <c r="C468" s="4"/>
      <c r="D468" s="4"/>
      <c r="E468" s="4"/>
      <c r="F468" s="4"/>
    </row>
    <row r="469" ht="14.25" customHeight="1">
      <c r="A469" s="4"/>
      <c r="B469" s="4"/>
      <c r="C469" s="4"/>
      <c r="D469" s="4"/>
      <c r="E469" s="4"/>
      <c r="F469" s="4"/>
    </row>
    <row r="470" ht="14.25" customHeight="1">
      <c r="A470" s="4"/>
      <c r="B470" s="4"/>
      <c r="C470" s="4"/>
      <c r="D470" s="4"/>
      <c r="E470" s="4"/>
      <c r="F470" s="4"/>
    </row>
    <row r="471" ht="14.25" customHeight="1">
      <c r="A471" s="4"/>
      <c r="B471" s="4"/>
      <c r="C471" s="4"/>
      <c r="D471" s="4"/>
      <c r="E471" s="4"/>
      <c r="F471" s="4"/>
    </row>
    <row r="472" ht="14.25" customHeight="1">
      <c r="A472" s="4"/>
      <c r="B472" s="4"/>
      <c r="C472" s="4"/>
      <c r="D472" s="4"/>
      <c r="E472" s="4"/>
      <c r="F472" s="4"/>
    </row>
    <row r="473" ht="14.25" customHeight="1">
      <c r="A473" s="4"/>
      <c r="B473" s="4"/>
      <c r="C473" s="4"/>
      <c r="D473" s="4"/>
      <c r="E473" s="4"/>
      <c r="F473" s="4"/>
    </row>
    <row r="474" ht="14.25" customHeight="1">
      <c r="A474" s="4"/>
      <c r="B474" s="4"/>
      <c r="C474" s="4"/>
      <c r="D474" s="4"/>
      <c r="E474" s="4"/>
      <c r="F474" s="4"/>
    </row>
    <row r="475" ht="14.25" customHeight="1">
      <c r="A475" s="4"/>
      <c r="B475" s="4"/>
      <c r="C475" s="4"/>
      <c r="D475" s="4"/>
      <c r="E475" s="4"/>
      <c r="F475" s="4"/>
    </row>
    <row r="476" ht="14.25" customHeight="1">
      <c r="A476" s="4"/>
      <c r="B476" s="4"/>
      <c r="C476" s="4"/>
      <c r="D476" s="4"/>
      <c r="E476" s="4"/>
      <c r="F476" s="4"/>
    </row>
    <row r="477" ht="14.25" customHeight="1">
      <c r="A477" s="4"/>
      <c r="B477" s="4"/>
      <c r="C477" s="4"/>
      <c r="D477" s="4"/>
      <c r="E477" s="4"/>
      <c r="F477" s="4"/>
    </row>
    <row r="478" ht="14.25" customHeight="1">
      <c r="A478" s="4"/>
      <c r="B478" s="4"/>
      <c r="C478" s="4"/>
      <c r="D478" s="4"/>
      <c r="E478" s="4"/>
      <c r="F478" s="4"/>
    </row>
    <row r="479" ht="14.25" customHeight="1">
      <c r="A479" s="4"/>
      <c r="B479" s="4"/>
      <c r="C479" s="4"/>
      <c r="D479" s="4"/>
      <c r="E479" s="4"/>
      <c r="F479" s="4"/>
    </row>
    <row r="480" ht="14.25" customHeight="1">
      <c r="A480" s="4"/>
      <c r="B480" s="4"/>
      <c r="C480" s="4"/>
      <c r="D480" s="4"/>
      <c r="E480" s="4"/>
      <c r="F480" s="4"/>
    </row>
    <row r="481" ht="14.25" customHeight="1">
      <c r="A481" s="4"/>
      <c r="B481" s="4"/>
      <c r="C481" s="4"/>
      <c r="D481" s="4"/>
      <c r="E481" s="4"/>
      <c r="F481" s="4"/>
    </row>
    <row r="482" ht="14.25" customHeight="1">
      <c r="A482" s="4"/>
      <c r="B482" s="4"/>
      <c r="C482" s="4"/>
      <c r="D482" s="4"/>
      <c r="E482" s="4"/>
      <c r="F482" s="4"/>
    </row>
    <row r="483" ht="14.25" customHeight="1">
      <c r="A483" s="4"/>
      <c r="B483" s="4"/>
      <c r="C483" s="4"/>
      <c r="D483" s="4"/>
      <c r="E483" s="4"/>
      <c r="F483" s="4"/>
    </row>
    <row r="484" ht="14.25" customHeight="1">
      <c r="A484" s="4"/>
      <c r="B484" s="4"/>
      <c r="C484" s="4"/>
      <c r="D484" s="4"/>
      <c r="E484" s="4"/>
      <c r="F484" s="4"/>
    </row>
    <row r="485" ht="14.25" customHeight="1">
      <c r="A485" s="4"/>
      <c r="B485" s="4"/>
      <c r="C485" s="4"/>
      <c r="D485" s="4"/>
      <c r="E485" s="4"/>
      <c r="F485" s="4"/>
    </row>
    <row r="486" ht="14.25" customHeight="1">
      <c r="A486" s="4"/>
      <c r="B486" s="4"/>
      <c r="C486" s="4"/>
      <c r="D486" s="4"/>
      <c r="E486" s="4"/>
      <c r="F486" s="4"/>
    </row>
    <row r="487" ht="14.25" customHeight="1">
      <c r="A487" s="4"/>
      <c r="B487" s="4"/>
      <c r="C487" s="4"/>
      <c r="D487" s="4"/>
      <c r="E487" s="4"/>
      <c r="F487" s="4"/>
    </row>
    <row r="488" ht="14.25" customHeight="1">
      <c r="A488" s="4"/>
      <c r="B488" s="4"/>
      <c r="C488" s="4"/>
      <c r="D488" s="4"/>
      <c r="E488" s="4"/>
      <c r="F488" s="4"/>
    </row>
    <row r="489" ht="14.25" customHeight="1">
      <c r="A489" s="4"/>
      <c r="B489" s="4"/>
      <c r="C489" s="4"/>
      <c r="D489" s="4"/>
      <c r="E489" s="4"/>
      <c r="F489" s="4"/>
    </row>
    <row r="490" ht="14.25" customHeight="1">
      <c r="A490" s="4"/>
      <c r="B490" s="4"/>
      <c r="C490" s="4"/>
      <c r="D490" s="4"/>
      <c r="E490" s="4"/>
      <c r="F490" s="4"/>
    </row>
    <row r="491" ht="14.25" customHeight="1">
      <c r="A491" s="4"/>
      <c r="B491" s="4"/>
      <c r="C491" s="4"/>
      <c r="D491" s="4"/>
      <c r="E491" s="4"/>
      <c r="F491" s="4"/>
    </row>
    <row r="492" ht="14.25" customHeight="1">
      <c r="A492" s="4"/>
      <c r="B492" s="4"/>
      <c r="C492" s="4"/>
      <c r="D492" s="4"/>
      <c r="E492" s="4"/>
      <c r="F492" s="4"/>
    </row>
    <row r="493" ht="14.25" customHeight="1">
      <c r="A493" s="4"/>
      <c r="B493" s="4"/>
      <c r="C493" s="4"/>
      <c r="D493" s="4"/>
      <c r="E493" s="4"/>
      <c r="F493" s="4"/>
    </row>
    <row r="494" ht="14.25" customHeight="1">
      <c r="A494" s="4"/>
      <c r="B494" s="4"/>
      <c r="C494" s="4"/>
      <c r="D494" s="4"/>
      <c r="E494" s="4"/>
      <c r="F494" s="4"/>
    </row>
    <row r="495" ht="14.25" customHeight="1">
      <c r="A495" s="4"/>
      <c r="B495" s="4"/>
      <c r="C495" s="4"/>
      <c r="D495" s="4"/>
      <c r="E495" s="4"/>
      <c r="F495" s="4"/>
    </row>
    <row r="496" ht="14.25" customHeight="1">
      <c r="A496" s="4"/>
      <c r="B496" s="4"/>
      <c r="C496" s="4"/>
      <c r="D496" s="4"/>
      <c r="E496" s="4"/>
      <c r="F496" s="4"/>
    </row>
    <row r="497" ht="14.25" customHeight="1">
      <c r="A497" s="4"/>
      <c r="B497" s="4"/>
      <c r="C497" s="4"/>
      <c r="D497" s="4"/>
      <c r="E497" s="4"/>
      <c r="F497" s="4"/>
    </row>
    <row r="498" ht="14.25" customHeight="1">
      <c r="A498" s="4"/>
      <c r="B498" s="4"/>
      <c r="C498" s="4"/>
      <c r="D498" s="4"/>
      <c r="E498" s="4"/>
      <c r="F498" s="4"/>
    </row>
    <row r="499" ht="14.25" customHeight="1">
      <c r="A499" s="4"/>
      <c r="B499" s="4"/>
      <c r="C499" s="4"/>
      <c r="D499" s="4"/>
      <c r="E499" s="4"/>
      <c r="F499" s="4"/>
    </row>
    <row r="500" ht="14.25" customHeight="1">
      <c r="A500" s="4"/>
      <c r="B500" s="4"/>
      <c r="C500" s="4"/>
      <c r="D500" s="4"/>
      <c r="E500" s="4"/>
      <c r="F500" s="4"/>
    </row>
    <row r="501" ht="14.25" customHeight="1">
      <c r="A501" s="4"/>
      <c r="B501" s="4"/>
      <c r="C501" s="4"/>
      <c r="D501" s="4"/>
      <c r="E501" s="4"/>
      <c r="F501" s="4"/>
    </row>
    <row r="502" ht="14.25" customHeight="1">
      <c r="A502" s="4"/>
      <c r="B502" s="4"/>
      <c r="C502" s="4"/>
      <c r="D502" s="4"/>
      <c r="E502" s="4"/>
      <c r="F502" s="4"/>
    </row>
    <row r="503" ht="14.25" customHeight="1">
      <c r="A503" s="4"/>
      <c r="B503" s="4"/>
      <c r="C503" s="4"/>
      <c r="D503" s="4"/>
      <c r="E503" s="4"/>
      <c r="F503" s="4"/>
    </row>
    <row r="504" ht="14.25" customHeight="1">
      <c r="A504" s="4"/>
      <c r="B504" s="4"/>
      <c r="C504" s="4"/>
      <c r="D504" s="4"/>
      <c r="E504" s="4"/>
      <c r="F504" s="4"/>
    </row>
    <row r="505" ht="14.25" customHeight="1">
      <c r="A505" s="4"/>
      <c r="B505" s="4"/>
      <c r="C505" s="4"/>
      <c r="D505" s="4"/>
      <c r="E505" s="4"/>
      <c r="F505" s="4"/>
    </row>
    <row r="506" ht="14.25" customHeight="1">
      <c r="A506" s="4"/>
      <c r="B506" s="4"/>
      <c r="C506" s="4"/>
      <c r="D506" s="4"/>
      <c r="E506" s="4"/>
      <c r="F506" s="4"/>
    </row>
    <row r="507" ht="14.25" customHeight="1">
      <c r="A507" s="4"/>
      <c r="B507" s="4"/>
      <c r="C507" s="4"/>
      <c r="D507" s="4"/>
      <c r="E507" s="4"/>
      <c r="F507" s="4"/>
    </row>
    <row r="508" ht="14.25" customHeight="1">
      <c r="A508" s="4"/>
      <c r="B508" s="4"/>
      <c r="C508" s="4"/>
      <c r="D508" s="4"/>
      <c r="E508" s="4"/>
      <c r="F508" s="4"/>
    </row>
    <row r="509" ht="14.25" customHeight="1">
      <c r="A509" s="4"/>
      <c r="B509" s="4"/>
      <c r="C509" s="4"/>
      <c r="D509" s="4"/>
      <c r="E509" s="4"/>
      <c r="F509" s="4"/>
    </row>
    <row r="510" ht="14.25" customHeight="1">
      <c r="A510" s="4"/>
      <c r="B510" s="4"/>
      <c r="C510" s="4"/>
      <c r="D510" s="4"/>
      <c r="E510" s="4"/>
      <c r="F510" s="4"/>
    </row>
    <row r="511" ht="14.25" customHeight="1">
      <c r="A511" s="4"/>
      <c r="B511" s="4"/>
      <c r="C511" s="4"/>
      <c r="D511" s="4"/>
      <c r="E511" s="4"/>
      <c r="F511" s="4"/>
    </row>
    <row r="512" ht="14.25" customHeight="1">
      <c r="A512" s="4"/>
      <c r="B512" s="4"/>
      <c r="C512" s="4"/>
      <c r="D512" s="4"/>
      <c r="E512" s="4"/>
      <c r="F512" s="4"/>
    </row>
    <row r="513" ht="14.25" customHeight="1">
      <c r="A513" s="4"/>
      <c r="B513" s="4"/>
      <c r="C513" s="4"/>
      <c r="D513" s="4"/>
      <c r="E513" s="4"/>
      <c r="F513" s="4"/>
    </row>
    <row r="514" ht="14.25" customHeight="1">
      <c r="A514" s="4"/>
      <c r="B514" s="4"/>
      <c r="C514" s="4"/>
      <c r="D514" s="4"/>
      <c r="E514" s="4"/>
      <c r="F514" s="4"/>
    </row>
    <row r="515" ht="14.25" customHeight="1">
      <c r="A515" s="4"/>
      <c r="B515" s="4"/>
      <c r="C515" s="4"/>
      <c r="D515" s="4"/>
      <c r="E515" s="4"/>
      <c r="F515" s="4"/>
    </row>
    <row r="516" ht="14.25" customHeight="1">
      <c r="A516" s="4"/>
      <c r="B516" s="4"/>
      <c r="C516" s="4"/>
      <c r="D516" s="4"/>
      <c r="E516" s="4"/>
      <c r="F516" s="4"/>
    </row>
    <row r="517" ht="14.25" customHeight="1">
      <c r="A517" s="4"/>
      <c r="B517" s="4"/>
      <c r="C517" s="4"/>
      <c r="D517" s="4"/>
      <c r="E517" s="4"/>
      <c r="F517" s="4"/>
    </row>
    <row r="518" ht="14.25" customHeight="1">
      <c r="A518" s="4"/>
      <c r="B518" s="4"/>
      <c r="C518" s="4"/>
      <c r="D518" s="4"/>
      <c r="E518" s="4"/>
      <c r="F518" s="4"/>
    </row>
    <row r="519" ht="14.25" customHeight="1">
      <c r="A519" s="4"/>
      <c r="B519" s="4"/>
      <c r="C519" s="4"/>
      <c r="D519" s="4"/>
      <c r="E519" s="4"/>
      <c r="F519" s="4"/>
    </row>
    <row r="520" ht="14.25" customHeight="1">
      <c r="A520" s="4"/>
      <c r="B520" s="4"/>
      <c r="C520" s="4"/>
      <c r="D520" s="4"/>
      <c r="E520" s="4"/>
      <c r="F520" s="4"/>
    </row>
    <row r="521" ht="14.25" customHeight="1">
      <c r="A521" s="4"/>
      <c r="B521" s="4"/>
      <c r="C521" s="4"/>
      <c r="D521" s="4"/>
      <c r="E521" s="4"/>
      <c r="F521" s="4"/>
    </row>
    <row r="522" ht="14.25" customHeight="1">
      <c r="A522" s="4"/>
      <c r="B522" s="4"/>
      <c r="C522" s="4"/>
      <c r="D522" s="4"/>
      <c r="E522" s="4"/>
      <c r="F522" s="4"/>
    </row>
    <row r="523" ht="14.25" customHeight="1">
      <c r="A523" s="4"/>
      <c r="B523" s="4"/>
      <c r="C523" s="4"/>
      <c r="D523" s="4"/>
      <c r="E523" s="4"/>
      <c r="F523" s="4"/>
    </row>
    <row r="524" ht="14.25" customHeight="1">
      <c r="A524" s="4"/>
      <c r="B524" s="4"/>
      <c r="C524" s="4"/>
      <c r="D524" s="4"/>
      <c r="E524" s="4"/>
      <c r="F524" s="4"/>
    </row>
    <row r="525" ht="14.25" customHeight="1">
      <c r="A525" s="4"/>
      <c r="B525" s="4"/>
      <c r="C525" s="4"/>
      <c r="D525" s="4"/>
      <c r="E525" s="4"/>
      <c r="F525" s="4"/>
    </row>
    <row r="526" ht="14.25" customHeight="1">
      <c r="A526" s="4"/>
      <c r="B526" s="4"/>
      <c r="C526" s="4"/>
      <c r="D526" s="4"/>
      <c r="E526" s="4"/>
      <c r="F526" s="4"/>
    </row>
    <row r="527" ht="14.25" customHeight="1">
      <c r="A527" s="4"/>
      <c r="B527" s="4"/>
      <c r="C527" s="4"/>
      <c r="D527" s="4"/>
      <c r="E527" s="4"/>
      <c r="F527" s="4"/>
    </row>
    <row r="528" ht="14.25" customHeight="1">
      <c r="A528" s="4"/>
      <c r="B528" s="4"/>
      <c r="C528" s="4"/>
      <c r="D528" s="4"/>
      <c r="E528" s="4"/>
      <c r="F528" s="4"/>
    </row>
    <row r="529" ht="14.25" customHeight="1">
      <c r="A529" s="4"/>
      <c r="B529" s="4"/>
      <c r="C529" s="4"/>
      <c r="D529" s="4"/>
      <c r="E529" s="4"/>
      <c r="F529" s="4"/>
    </row>
    <row r="530" ht="14.25" customHeight="1">
      <c r="A530" s="4"/>
      <c r="B530" s="4"/>
      <c r="C530" s="4"/>
      <c r="D530" s="4"/>
      <c r="E530" s="4"/>
      <c r="F530" s="4"/>
    </row>
    <row r="531" ht="14.25" customHeight="1">
      <c r="A531" s="4"/>
      <c r="B531" s="4"/>
      <c r="C531" s="4"/>
      <c r="D531" s="4"/>
      <c r="E531" s="4"/>
      <c r="F531" s="4"/>
    </row>
    <row r="532" ht="14.25" customHeight="1">
      <c r="A532" s="4"/>
      <c r="B532" s="4"/>
      <c r="C532" s="4"/>
      <c r="D532" s="4"/>
      <c r="E532" s="4"/>
      <c r="F532" s="4"/>
    </row>
    <row r="533" ht="14.25" customHeight="1">
      <c r="A533" s="4"/>
      <c r="B533" s="4"/>
      <c r="C533" s="4"/>
      <c r="D533" s="4"/>
      <c r="E533" s="4"/>
      <c r="F533" s="4"/>
    </row>
    <row r="534" ht="14.25" customHeight="1">
      <c r="A534" s="4"/>
      <c r="B534" s="4"/>
      <c r="C534" s="4"/>
      <c r="D534" s="4"/>
      <c r="E534" s="4"/>
      <c r="F534" s="4"/>
    </row>
    <row r="535" ht="14.25" customHeight="1">
      <c r="A535" s="4"/>
      <c r="B535" s="4"/>
      <c r="C535" s="4"/>
      <c r="D535" s="4"/>
      <c r="E535" s="4"/>
      <c r="F535" s="4"/>
    </row>
    <row r="536" ht="14.25" customHeight="1">
      <c r="A536" s="4"/>
      <c r="B536" s="4"/>
      <c r="C536" s="4"/>
      <c r="D536" s="4"/>
      <c r="E536" s="4"/>
      <c r="F536" s="4"/>
    </row>
    <row r="537" ht="14.25" customHeight="1">
      <c r="A537" s="4"/>
      <c r="B537" s="4"/>
      <c r="C537" s="4"/>
      <c r="D537" s="4"/>
      <c r="E537" s="4"/>
      <c r="F537" s="4"/>
    </row>
    <row r="538" ht="14.25" customHeight="1">
      <c r="A538" s="4"/>
      <c r="B538" s="4"/>
      <c r="C538" s="4"/>
      <c r="D538" s="4"/>
      <c r="E538" s="4"/>
      <c r="F538" s="4"/>
    </row>
    <row r="539" ht="14.25" customHeight="1">
      <c r="A539" s="4"/>
      <c r="B539" s="4"/>
      <c r="C539" s="4"/>
      <c r="D539" s="4"/>
      <c r="E539" s="4"/>
      <c r="F539" s="4"/>
    </row>
    <row r="540" ht="14.25" customHeight="1">
      <c r="A540" s="4"/>
      <c r="B540" s="4"/>
      <c r="C540" s="4"/>
      <c r="D540" s="4"/>
      <c r="E540" s="4"/>
      <c r="F540" s="4"/>
    </row>
    <row r="541" ht="14.25" customHeight="1">
      <c r="A541" s="4"/>
      <c r="B541" s="4"/>
      <c r="C541" s="4"/>
      <c r="D541" s="4"/>
      <c r="E541" s="4"/>
      <c r="F541" s="4"/>
    </row>
    <row r="542" ht="14.25" customHeight="1">
      <c r="A542" s="4"/>
      <c r="B542" s="4"/>
      <c r="C542" s="4"/>
      <c r="D542" s="4"/>
      <c r="E542" s="4"/>
      <c r="F542" s="4"/>
    </row>
    <row r="543" ht="14.25" customHeight="1">
      <c r="A543" s="4"/>
      <c r="B543" s="4"/>
      <c r="C543" s="4"/>
      <c r="D543" s="4"/>
      <c r="E543" s="4"/>
      <c r="F543" s="4"/>
    </row>
    <row r="544" ht="14.25" customHeight="1">
      <c r="A544" s="4"/>
      <c r="B544" s="4"/>
      <c r="C544" s="4"/>
      <c r="D544" s="4"/>
      <c r="E544" s="4"/>
      <c r="F544" s="4"/>
    </row>
    <row r="545" ht="14.25" customHeight="1">
      <c r="A545" s="4"/>
      <c r="B545" s="4"/>
      <c r="C545" s="4"/>
      <c r="D545" s="4"/>
      <c r="E545" s="4"/>
      <c r="F545" s="4"/>
    </row>
    <row r="546" ht="14.25" customHeight="1">
      <c r="A546" s="4"/>
      <c r="B546" s="4"/>
      <c r="C546" s="4"/>
      <c r="D546" s="4"/>
      <c r="E546" s="4"/>
      <c r="F546" s="4"/>
    </row>
    <row r="547" ht="14.25" customHeight="1">
      <c r="A547" s="4"/>
      <c r="B547" s="4"/>
      <c r="C547" s="4"/>
      <c r="D547" s="4"/>
      <c r="E547" s="4"/>
      <c r="F547" s="4"/>
    </row>
    <row r="548" ht="14.25" customHeight="1">
      <c r="A548" s="4"/>
      <c r="B548" s="4"/>
      <c r="C548" s="4"/>
      <c r="D548" s="4"/>
      <c r="E548" s="4"/>
      <c r="F548" s="4"/>
    </row>
    <row r="549" ht="14.25" customHeight="1">
      <c r="A549" s="4"/>
      <c r="B549" s="4"/>
      <c r="C549" s="4"/>
      <c r="D549" s="4"/>
      <c r="E549" s="4"/>
      <c r="F549" s="4"/>
    </row>
    <row r="550" ht="14.25" customHeight="1">
      <c r="A550" s="4"/>
      <c r="B550" s="4"/>
      <c r="C550" s="4"/>
      <c r="D550" s="4"/>
      <c r="E550" s="4"/>
      <c r="F550" s="4"/>
    </row>
    <row r="551" ht="14.25" customHeight="1">
      <c r="A551" s="4"/>
      <c r="B551" s="4"/>
      <c r="C551" s="4"/>
      <c r="D551" s="4"/>
      <c r="E551" s="4"/>
      <c r="F551" s="4"/>
    </row>
    <row r="552" ht="14.25" customHeight="1">
      <c r="A552" s="4"/>
      <c r="B552" s="4"/>
      <c r="C552" s="4"/>
      <c r="D552" s="4"/>
      <c r="E552" s="4"/>
      <c r="F552" s="4"/>
    </row>
    <row r="553" ht="14.25" customHeight="1">
      <c r="A553" s="4"/>
      <c r="B553" s="4"/>
      <c r="C553" s="4"/>
      <c r="D553" s="4"/>
      <c r="E553" s="4"/>
      <c r="F553" s="4"/>
    </row>
    <row r="554" ht="14.25" customHeight="1">
      <c r="A554" s="4"/>
      <c r="B554" s="4"/>
      <c r="C554" s="4"/>
      <c r="D554" s="4"/>
      <c r="E554" s="4"/>
      <c r="F554" s="4"/>
    </row>
    <row r="555" ht="14.25" customHeight="1">
      <c r="A555" s="4"/>
      <c r="B555" s="4"/>
      <c r="C555" s="4"/>
      <c r="D555" s="4"/>
      <c r="E555" s="4"/>
      <c r="F555" s="4"/>
    </row>
    <row r="556" ht="14.25" customHeight="1">
      <c r="A556" s="4"/>
      <c r="B556" s="4"/>
      <c r="C556" s="4"/>
      <c r="D556" s="4"/>
      <c r="E556" s="4"/>
      <c r="F556" s="4"/>
    </row>
    <row r="557" ht="14.25" customHeight="1">
      <c r="A557" s="4"/>
      <c r="B557" s="4"/>
      <c r="C557" s="4"/>
      <c r="D557" s="4"/>
      <c r="E557" s="4"/>
      <c r="F557" s="4"/>
    </row>
    <row r="558" ht="14.25" customHeight="1">
      <c r="A558" s="4"/>
      <c r="B558" s="4"/>
      <c r="C558" s="4"/>
      <c r="D558" s="4"/>
      <c r="E558" s="4"/>
      <c r="F558" s="4"/>
    </row>
    <row r="559" ht="14.25" customHeight="1">
      <c r="A559" s="4"/>
      <c r="B559" s="4"/>
      <c r="C559" s="4"/>
      <c r="D559" s="4"/>
      <c r="E559" s="4"/>
      <c r="F559" s="4"/>
    </row>
    <row r="560" ht="14.25" customHeight="1">
      <c r="A560" s="4"/>
      <c r="B560" s="4"/>
      <c r="C560" s="4"/>
      <c r="D560" s="4"/>
      <c r="E560" s="4"/>
      <c r="F560" s="4"/>
    </row>
    <row r="561" ht="14.25" customHeight="1">
      <c r="A561" s="4"/>
      <c r="B561" s="4"/>
      <c r="C561" s="4"/>
      <c r="D561" s="4"/>
      <c r="E561" s="4"/>
      <c r="F561" s="4"/>
    </row>
    <row r="562" ht="14.25" customHeight="1">
      <c r="A562" s="4"/>
      <c r="B562" s="4"/>
      <c r="C562" s="4"/>
      <c r="D562" s="4"/>
      <c r="E562" s="4"/>
      <c r="F562" s="4"/>
    </row>
    <row r="563" ht="14.25" customHeight="1">
      <c r="A563" s="4"/>
      <c r="B563" s="4"/>
      <c r="C563" s="4"/>
      <c r="D563" s="4"/>
      <c r="E563" s="4"/>
      <c r="F563" s="4"/>
    </row>
    <row r="564" ht="14.25" customHeight="1">
      <c r="A564" s="4"/>
      <c r="B564" s="4"/>
      <c r="C564" s="4"/>
      <c r="D564" s="4"/>
      <c r="E564" s="4"/>
      <c r="F564" s="4"/>
    </row>
    <row r="565" ht="14.25" customHeight="1">
      <c r="A565" s="4"/>
      <c r="B565" s="4"/>
      <c r="C565" s="4"/>
      <c r="D565" s="4"/>
      <c r="E565" s="4"/>
      <c r="F565" s="4"/>
    </row>
    <row r="566" ht="14.25" customHeight="1">
      <c r="A566" s="4"/>
      <c r="B566" s="4"/>
      <c r="C566" s="4"/>
      <c r="D566" s="4"/>
      <c r="E566" s="4"/>
      <c r="F566" s="4"/>
    </row>
    <row r="567" ht="14.25" customHeight="1">
      <c r="A567" s="4"/>
      <c r="B567" s="4"/>
      <c r="C567" s="4"/>
      <c r="D567" s="4"/>
      <c r="E567" s="4"/>
      <c r="F567" s="4"/>
    </row>
    <row r="568" ht="14.25" customHeight="1">
      <c r="A568" s="4"/>
      <c r="B568" s="4"/>
      <c r="C568" s="4"/>
      <c r="D568" s="4"/>
      <c r="E568" s="4"/>
      <c r="F568" s="4"/>
    </row>
    <row r="569" ht="14.25" customHeight="1">
      <c r="A569" s="4"/>
      <c r="B569" s="4"/>
      <c r="C569" s="4"/>
      <c r="D569" s="4"/>
      <c r="E569" s="4"/>
      <c r="F569" s="4"/>
    </row>
    <row r="570" ht="14.25" customHeight="1">
      <c r="A570" s="4"/>
      <c r="B570" s="4"/>
      <c r="C570" s="4"/>
      <c r="D570" s="4"/>
      <c r="E570" s="4"/>
      <c r="F570" s="4"/>
    </row>
    <row r="571" ht="14.25" customHeight="1">
      <c r="A571" s="4"/>
      <c r="B571" s="4"/>
      <c r="C571" s="4"/>
      <c r="D571" s="4"/>
      <c r="E571" s="4"/>
      <c r="F571" s="4"/>
    </row>
    <row r="572" ht="14.25" customHeight="1">
      <c r="A572" s="4"/>
      <c r="B572" s="4"/>
      <c r="C572" s="4"/>
      <c r="D572" s="4"/>
      <c r="E572" s="4"/>
      <c r="F572" s="4"/>
    </row>
    <row r="573" ht="14.25" customHeight="1">
      <c r="A573" s="4"/>
      <c r="B573" s="4"/>
      <c r="C573" s="4"/>
      <c r="D573" s="4"/>
      <c r="E573" s="4"/>
      <c r="F573" s="4"/>
    </row>
    <row r="574" ht="14.25" customHeight="1">
      <c r="A574" s="4"/>
      <c r="B574" s="4"/>
      <c r="C574" s="4"/>
      <c r="D574" s="4"/>
      <c r="E574" s="4"/>
      <c r="F574" s="4"/>
    </row>
    <row r="575" ht="14.25" customHeight="1">
      <c r="A575" s="4"/>
      <c r="B575" s="4"/>
      <c r="C575" s="4"/>
      <c r="D575" s="4"/>
      <c r="E575" s="4"/>
      <c r="F575" s="4"/>
    </row>
    <row r="576" ht="14.25" customHeight="1">
      <c r="A576" s="4"/>
      <c r="B576" s="4"/>
      <c r="C576" s="4"/>
      <c r="D576" s="4"/>
      <c r="E576" s="4"/>
      <c r="F576" s="4"/>
    </row>
    <row r="577" ht="14.25" customHeight="1">
      <c r="A577" s="4"/>
      <c r="B577" s="4"/>
      <c r="C577" s="4"/>
      <c r="D577" s="4"/>
      <c r="E577" s="4"/>
      <c r="F577" s="4"/>
    </row>
    <row r="578" ht="14.25" customHeight="1">
      <c r="A578" s="4"/>
      <c r="B578" s="4"/>
      <c r="C578" s="4"/>
      <c r="D578" s="4"/>
      <c r="E578" s="4"/>
      <c r="F578" s="4"/>
    </row>
    <row r="579" ht="14.25" customHeight="1">
      <c r="A579" s="4"/>
      <c r="B579" s="4"/>
      <c r="C579" s="4"/>
      <c r="D579" s="4"/>
      <c r="E579" s="4"/>
      <c r="F579" s="4"/>
    </row>
    <row r="580" ht="14.25" customHeight="1">
      <c r="A580" s="4"/>
      <c r="B580" s="4"/>
      <c r="C580" s="4"/>
      <c r="D580" s="4"/>
      <c r="E580" s="4"/>
      <c r="F580" s="4"/>
    </row>
    <row r="581" ht="14.25" customHeight="1">
      <c r="A581" s="4"/>
      <c r="B581" s="4"/>
      <c r="C581" s="4"/>
      <c r="D581" s="4"/>
      <c r="E581" s="4"/>
      <c r="F581" s="4"/>
    </row>
    <row r="582" ht="14.25" customHeight="1">
      <c r="A582" s="4"/>
      <c r="B582" s="4"/>
      <c r="C582" s="4"/>
      <c r="D582" s="4"/>
      <c r="E582" s="4"/>
      <c r="F582" s="4"/>
    </row>
    <row r="583" ht="14.25" customHeight="1">
      <c r="A583" s="4"/>
      <c r="B583" s="4"/>
      <c r="C583" s="4"/>
      <c r="D583" s="4"/>
      <c r="E583" s="4"/>
      <c r="F583" s="4"/>
    </row>
    <row r="584" ht="14.25" customHeight="1">
      <c r="A584" s="4"/>
      <c r="B584" s="4"/>
      <c r="C584" s="4"/>
      <c r="D584" s="4"/>
      <c r="E584" s="4"/>
      <c r="F584" s="4"/>
    </row>
    <row r="585" ht="14.25" customHeight="1">
      <c r="A585" s="4"/>
      <c r="B585" s="4"/>
      <c r="C585" s="4"/>
      <c r="D585" s="4"/>
      <c r="E585" s="4"/>
      <c r="F585" s="4"/>
    </row>
    <row r="586" ht="14.25" customHeight="1">
      <c r="A586" s="4"/>
      <c r="B586" s="4"/>
      <c r="C586" s="4"/>
      <c r="D586" s="4"/>
      <c r="E586" s="4"/>
      <c r="F586" s="4"/>
    </row>
    <row r="587" ht="14.25" customHeight="1">
      <c r="A587" s="4"/>
      <c r="B587" s="4"/>
      <c r="C587" s="4"/>
      <c r="D587" s="4"/>
      <c r="E587" s="4"/>
      <c r="F587" s="4"/>
    </row>
    <row r="588" ht="14.25" customHeight="1">
      <c r="A588" s="4"/>
      <c r="B588" s="4"/>
      <c r="C588" s="4"/>
      <c r="D588" s="4"/>
      <c r="E588" s="4"/>
      <c r="F588" s="4"/>
    </row>
    <row r="589" ht="14.25" customHeight="1">
      <c r="A589" s="4"/>
      <c r="B589" s="4"/>
      <c r="C589" s="4"/>
      <c r="D589" s="4"/>
      <c r="E589" s="4"/>
      <c r="F589" s="4"/>
    </row>
    <row r="590" ht="14.25" customHeight="1">
      <c r="A590" s="4"/>
      <c r="B590" s="4"/>
      <c r="C590" s="4"/>
      <c r="D590" s="4"/>
      <c r="E590" s="4"/>
      <c r="F590" s="4"/>
    </row>
    <row r="591" ht="14.25" customHeight="1">
      <c r="A591" s="4"/>
      <c r="B591" s="4"/>
      <c r="C591" s="4"/>
      <c r="D591" s="4"/>
      <c r="E591" s="4"/>
      <c r="F591" s="4"/>
    </row>
    <row r="592" ht="14.25" customHeight="1">
      <c r="A592" s="4"/>
      <c r="B592" s="4"/>
      <c r="C592" s="4"/>
      <c r="D592" s="4"/>
      <c r="E592" s="4"/>
      <c r="F592" s="4"/>
    </row>
    <row r="593" ht="14.25" customHeight="1">
      <c r="A593" s="4"/>
      <c r="B593" s="4"/>
      <c r="C593" s="4"/>
      <c r="D593" s="4"/>
      <c r="E593" s="4"/>
      <c r="F593" s="4"/>
    </row>
    <row r="594" ht="14.25" customHeight="1">
      <c r="A594" s="4"/>
      <c r="B594" s="4"/>
      <c r="C594" s="4"/>
      <c r="D594" s="4"/>
      <c r="E594" s="4"/>
      <c r="F594" s="4"/>
    </row>
    <row r="595" ht="14.25" customHeight="1">
      <c r="A595" s="4"/>
      <c r="B595" s="4"/>
      <c r="C595" s="4"/>
      <c r="D595" s="4"/>
      <c r="E595" s="4"/>
      <c r="F595" s="4"/>
    </row>
    <row r="596" ht="14.25" customHeight="1">
      <c r="A596" s="4"/>
      <c r="B596" s="4"/>
      <c r="C596" s="4"/>
      <c r="D596" s="4"/>
      <c r="E596" s="4"/>
      <c r="F596" s="4"/>
    </row>
    <row r="597" ht="14.25" customHeight="1">
      <c r="A597" s="4"/>
      <c r="B597" s="4"/>
      <c r="C597" s="4"/>
      <c r="D597" s="4"/>
      <c r="E597" s="4"/>
      <c r="F597" s="4"/>
    </row>
    <row r="598" ht="14.25" customHeight="1">
      <c r="A598" s="4"/>
      <c r="B598" s="4"/>
      <c r="C598" s="4"/>
      <c r="D598" s="4"/>
      <c r="E598" s="4"/>
      <c r="F598" s="4"/>
    </row>
    <row r="599" ht="14.25" customHeight="1">
      <c r="A599" s="4"/>
      <c r="B599" s="4"/>
      <c r="C599" s="4"/>
      <c r="D599" s="4"/>
      <c r="E599" s="4"/>
      <c r="F599" s="4"/>
    </row>
    <row r="600" ht="14.25" customHeight="1">
      <c r="A600" s="4"/>
      <c r="B600" s="4"/>
      <c r="C600" s="4"/>
      <c r="D600" s="4"/>
      <c r="E600" s="4"/>
      <c r="F600" s="4"/>
    </row>
    <row r="601" ht="14.25" customHeight="1">
      <c r="A601" s="4"/>
      <c r="B601" s="4"/>
      <c r="C601" s="4"/>
      <c r="D601" s="4"/>
      <c r="E601" s="4"/>
      <c r="F601" s="4"/>
    </row>
    <row r="602" ht="14.25" customHeight="1">
      <c r="A602" s="4"/>
      <c r="B602" s="4"/>
      <c r="C602" s="4"/>
      <c r="D602" s="4"/>
      <c r="E602" s="4"/>
      <c r="F602" s="4"/>
    </row>
    <row r="603" ht="14.25" customHeight="1">
      <c r="A603" s="4"/>
      <c r="B603" s="4"/>
      <c r="C603" s="4"/>
      <c r="D603" s="4"/>
      <c r="E603" s="4"/>
      <c r="F603" s="4"/>
    </row>
    <row r="604" ht="14.25" customHeight="1">
      <c r="A604" s="4"/>
      <c r="B604" s="4"/>
      <c r="C604" s="4"/>
      <c r="D604" s="4"/>
      <c r="E604" s="4"/>
      <c r="F604" s="4"/>
    </row>
    <row r="605" ht="14.25" customHeight="1">
      <c r="A605" s="4"/>
      <c r="B605" s="4"/>
      <c r="C605" s="4"/>
      <c r="D605" s="4"/>
      <c r="E605" s="4"/>
      <c r="F605" s="4"/>
    </row>
    <row r="606" ht="14.25" customHeight="1">
      <c r="A606" s="4"/>
      <c r="B606" s="4"/>
      <c r="C606" s="4"/>
      <c r="D606" s="4"/>
      <c r="E606" s="4"/>
      <c r="F606" s="4"/>
    </row>
    <row r="607" ht="14.25" customHeight="1">
      <c r="A607" s="4"/>
      <c r="B607" s="4"/>
      <c r="C607" s="4"/>
      <c r="D607" s="4"/>
      <c r="E607" s="4"/>
      <c r="F607" s="4"/>
    </row>
    <row r="608" ht="14.25" customHeight="1">
      <c r="A608" s="4"/>
      <c r="B608" s="4"/>
      <c r="C608" s="4"/>
      <c r="D608" s="4"/>
      <c r="E608" s="4"/>
      <c r="F608" s="4"/>
    </row>
    <row r="609" ht="14.25" customHeight="1">
      <c r="A609" s="4"/>
      <c r="B609" s="4"/>
      <c r="C609" s="4"/>
      <c r="D609" s="4"/>
      <c r="E609" s="4"/>
      <c r="F609" s="4"/>
    </row>
    <row r="610" ht="14.25" customHeight="1">
      <c r="A610" s="4"/>
      <c r="B610" s="4"/>
      <c r="C610" s="4"/>
      <c r="D610" s="4"/>
      <c r="E610" s="4"/>
      <c r="F610" s="4"/>
    </row>
    <row r="611" ht="14.25" customHeight="1">
      <c r="A611" s="4"/>
      <c r="B611" s="4"/>
      <c r="C611" s="4"/>
      <c r="D611" s="4"/>
      <c r="E611" s="4"/>
      <c r="F611" s="4"/>
    </row>
    <row r="612" ht="14.25" customHeight="1">
      <c r="A612" s="4"/>
      <c r="B612" s="4"/>
      <c r="C612" s="4"/>
      <c r="D612" s="4"/>
      <c r="E612" s="4"/>
      <c r="F612" s="4"/>
    </row>
    <row r="613" ht="14.25" customHeight="1">
      <c r="A613" s="4"/>
      <c r="B613" s="4"/>
      <c r="C613" s="4"/>
      <c r="D613" s="4"/>
      <c r="E613" s="4"/>
      <c r="F613" s="4"/>
    </row>
    <row r="614" ht="14.25" customHeight="1">
      <c r="A614" s="4"/>
      <c r="B614" s="4"/>
      <c r="C614" s="4"/>
      <c r="D614" s="4"/>
      <c r="E614" s="4"/>
      <c r="F614" s="4"/>
    </row>
    <row r="615" ht="14.25" customHeight="1">
      <c r="A615" s="4"/>
      <c r="B615" s="4"/>
      <c r="C615" s="4"/>
      <c r="D615" s="4"/>
      <c r="E615" s="4"/>
      <c r="F615" s="4"/>
    </row>
    <row r="616" ht="14.25" customHeight="1">
      <c r="A616" s="4"/>
      <c r="B616" s="4"/>
      <c r="C616" s="4"/>
      <c r="D616" s="4"/>
      <c r="E616" s="4"/>
      <c r="F616" s="4"/>
    </row>
    <row r="617" ht="14.25" customHeight="1">
      <c r="A617" s="4"/>
      <c r="B617" s="4"/>
      <c r="C617" s="4"/>
      <c r="D617" s="4"/>
      <c r="E617" s="4"/>
      <c r="F617" s="4"/>
    </row>
    <row r="618" ht="14.25" customHeight="1">
      <c r="A618" s="4"/>
      <c r="B618" s="4"/>
      <c r="C618" s="4"/>
      <c r="D618" s="4"/>
      <c r="E618" s="4"/>
      <c r="F618" s="4"/>
    </row>
    <row r="619" ht="14.25" customHeight="1">
      <c r="A619" s="4"/>
      <c r="B619" s="4"/>
      <c r="C619" s="4"/>
      <c r="D619" s="4"/>
      <c r="E619" s="4"/>
      <c r="F619" s="4"/>
    </row>
    <row r="620" ht="14.25" customHeight="1">
      <c r="A620" s="4"/>
      <c r="B620" s="4"/>
      <c r="C620" s="4"/>
      <c r="D620" s="4"/>
      <c r="E620" s="4"/>
      <c r="F620" s="4"/>
    </row>
    <row r="621" ht="14.25" customHeight="1">
      <c r="A621" s="4"/>
      <c r="B621" s="4"/>
      <c r="C621" s="4"/>
      <c r="D621" s="4"/>
      <c r="E621" s="4"/>
      <c r="F621" s="4"/>
    </row>
    <row r="622" ht="14.25" customHeight="1">
      <c r="A622" s="4"/>
      <c r="B622" s="4"/>
      <c r="C622" s="4"/>
      <c r="D622" s="4"/>
      <c r="E622" s="4"/>
      <c r="F622" s="4"/>
    </row>
    <row r="623" ht="14.25" customHeight="1">
      <c r="A623" s="4"/>
      <c r="B623" s="4"/>
      <c r="C623" s="4"/>
      <c r="D623" s="4"/>
      <c r="E623" s="4"/>
      <c r="F623" s="4"/>
    </row>
    <row r="624" ht="14.25" customHeight="1">
      <c r="A624" s="4"/>
      <c r="B624" s="4"/>
      <c r="C624" s="4"/>
      <c r="D624" s="4"/>
      <c r="E624" s="4"/>
      <c r="F624" s="4"/>
    </row>
    <row r="625" ht="14.25" customHeight="1">
      <c r="A625" s="4"/>
      <c r="B625" s="4"/>
      <c r="C625" s="4"/>
      <c r="D625" s="4"/>
      <c r="E625" s="4"/>
      <c r="F625" s="4"/>
    </row>
    <row r="626" ht="14.25" customHeight="1">
      <c r="A626" s="4"/>
      <c r="B626" s="4"/>
      <c r="C626" s="4"/>
      <c r="D626" s="4"/>
      <c r="E626" s="4"/>
      <c r="F626" s="4"/>
    </row>
    <row r="627" ht="14.25" customHeight="1">
      <c r="A627" s="4"/>
      <c r="B627" s="4"/>
      <c r="C627" s="4"/>
      <c r="D627" s="4"/>
      <c r="E627" s="4"/>
      <c r="F627" s="4"/>
    </row>
    <row r="628" ht="14.25" customHeight="1">
      <c r="A628" s="4"/>
      <c r="B628" s="4"/>
      <c r="C628" s="4"/>
      <c r="D628" s="4"/>
      <c r="E628" s="4"/>
      <c r="F628" s="4"/>
    </row>
    <row r="629" ht="14.25" customHeight="1">
      <c r="A629" s="4"/>
      <c r="B629" s="4"/>
      <c r="C629" s="4"/>
      <c r="D629" s="4"/>
      <c r="E629" s="4"/>
      <c r="F629" s="4"/>
    </row>
    <row r="630" ht="14.25" customHeight="1">
      <c r="A630" s="4"/>
      <c r="B630" s="4"/>
      <c r="C630" s="4"/>
      <c r="D630" s="4"/>
      <c r="E630" s="4"/>
      <c r="F630" s="4"/>
    </row>
    <row r="631" ht="14.25" customHeight="1">
      <c r="A631" s="4"/>
      <c r="B631" s="4"/>
      <c r="C631" s="4"/>
      <c r="D631" s="4"/>
      <c r="E631" s="4"/>
      <c r="F631" s="4"/>
    </row>
    <row r="632" ht="14.25" customHeight="1">
      <c r="A632" s="4"/>
      <c r="B632" s="4"/>
      <c r="C632" s="4"/>
      <c r="D632" s="4"/>
      <c r="E632" s="4"/>
      <c r="F632" s="4"/>
    </row>
    <row r="633" ht="14.25" customHeight="1">
      <c r="A633" s="4"/>
      <c r="B633" s="4"/>
      <c r="C633" s="4"/>
      <c r="D633" s="4"/>
      <c r="E633" s="4"/>
      <c r="F633" s="4"/>
    </row>
    <row r="634" ht="14.25" customHeight="1">
      <c r="A634" s="4"/>
      <c r="B634" s="4"/>
      <c r="C634" s="4"/>
      <c r="D634" s="4"/>
      <c r="E634" s="4"/>
      <c r="F634" s="4"/>
    </row>
    <row r="635" ht="14.25" customHeight="1">
      <c r="A635" s="4"/>
      <c r="B635" s="4"/>
      <c r="C635" s="4"/>
      <c r="D635" s="4"/>
      <c r="E635" s="4"/>
      <c r="F635" s="4"/>
    </row>
    <row r="636" ht="14.25" customHeight="1">
      <c r="A636" s="4"/>
      <c r="B636" s="4"/>
      <c r="C636" s="4"/>
      <c r="D636" s="4"/>
      <c r="E636" s="4"/>
      <c r="F636" s="4"/>
    </row>
    <row r="637" ht="14.25" customHeight="1">
      <c r="A637" s="4"/>
      <c r="B637" s="4"/>
      <c r="C637" s="4"/>
      <c r="D637" s="4"/>
      <c r="E637" s="4"/>
      <c r="F637" s="4"/>
    </row>
    <row r="638" ht="14.25" customHeight="1">
      <c r="A638" s="4"/>
      <c r="B638" s="4"/>
      <c r="C638" s="4"/>
      <c r="D638" s="4"/>
      <c r="E638" s="4"/>
      <c r="F638" s="4"/>
    </row>
    <row r="639" ht="14.25" customHeight="1">
      <c r="A639" s="4"/>
      <c r="B639" s="4"/>
      <c r="C639" s="4"/>
      <c r="D639" s="4"/>
      <c r="E639" s="4"/>
      <c r="F639" s="4"/>
    </row>
    <row r="640" ht="14.25" customHeight="1">
      <c r="A640" s="4"/>
      <c r="B640" s="4"/>
      <c r="C640" s="4"/>
      <c r="D640" s="4"/>
      <c r="E640" s="4"/>
      <c r="F640" s="4"/>
    </row>
    <row r="641" ht="14.25" customHeight="1">
      <c r="A641" s="4"/>
      <c r="B641" s="4"/>
      <c r="C641" s="4"/>
      <c r="D641" s="4"/>
      <c r="E641" s="4"/>
      <c r="F641" s="4"/>
    </row>
    <row r="642" ht="14.25" customHeight="1">
      <c r="A642" s="4"/>
      <c r="B642" s="4"/>
      <c r="C642" s="4"/>
      <c r="D642" s="4"/>
      <c r="E642" s="4"/>
      <c r="F642" s="4"/>
    </row>
    <row r="643" ht="14.25" customHeight="1">
      <c r="A643" s="4"/>
      <c r="B643" s="4"/>
      <c r="C643" s="4"/>
      <c r="D643" s="4"/>
      <c r="E643" s="4"/>
      <c r="F643" s="4"/>
    </row>
    <row r="644" ht="14.25" customHeight="1">
      <c r="A644" s="4"/>
      <c r="B644" s="4"/>
      <c r="C644" s="4"/>
      <c r="D644" s="4"/>
      <c r="E644" s="4"/>
      <c r="F644" s="4"/>
    </row>
    <row r="645" ht="14.25" customHeight="1">
      <c r="A645" s="4"/>
      <c r="B645" s="4"/>
      <c r="C645" s="4"/>
      <c r="D645" s="4"/>
      <c r="E645" s="4"/>
      <c r="F645" s="4"/>
    </row>
    <row r="646" ht="14.25" customHeight="1">
      <c r="A646" s="4"/>
      <c r="B646" s="4"/>
      <c r="C646" s="4"/>
      <c r="D646" s="4"/>
      <c r="E646" s="4"/>
      <c r="F646" s="4"/>
    </row>
    <row r="647" ht="14.25" customHeight="1">
      <c r="A647" s="4"/>
      <c r="B647" s="4"/>
      <c r="C647" s="4"/>
      <c r="D647" s="4"/>
      <c r="E647" s="4"/>
      <c r="F647" s="4"/>
    </row>
    <row r="648" ht="14.25" customHeight="1">
      <c r="A648" s="4"/>
      <c r="B648" s="4"/>
      <c r="C648" s="4"/>
      <c r="D648" s="4"/>
      <c r="E648" s="4"/>
      <c r="F648" s="4"/>
    </row>
    <row r="649" ht="14.25" customHeight="1">
      <c r="A649" s="4"/>
      <c r="B649" s="4"/>
      <c r="C649" s="4"/>
      <c r="D649" s="4"/>
      <c r="E649" s="4"/>
      <c r="F649" s="4"/>
    </row>
    <row r="650" ht="14.25" customHeight="1">
      <c r="A650" s="4"/>
      <c r="B650" s="4"/>
      <c r="C650" s="4"/>
      <c r="D650" s="4"/>
      <c r="E650" s="4"/>
      <c r="F650" s="4"/>
    </row>
    <row r="651" ht="14.25" customHeight="1">
      <c r="A651" s="4"/>
      <c r="B651" s="4"/>
      <c r="C651" s="4"/>
      <c r="D651" s="4"/>
      <c r="E651" s="4"/>
      <c r="F651" s="4"/>
    </row>
    <row r="652" ht="14.25" customHeight="1">
      <c r="A652" s="4"/>
      <c r="B652" s="4"/>
      <c r="C652" s="4"/>
      <c r="D652" s="4"/>
      <c r="E652" s="4"/>
      <c r="F652" s="4"/>
    </row>
    <row r="653" ht="14.25" customHeight="1">
      <c r="A653" s="4"/>
      <c r="B653" s="4"/>
      <c r="C653" s="4"/>
      <c r="D653" s="4"/>
      <c r="E653" s="4"/>
      <c r="F653" s="4"/>
    </row>
    <row r="654" ht="14.25" customHeight="1">
      <c r="A654" s="4"/>
      <c r="B654" s="4"/>
      <c r="C654" s="4"/>
      <c r="D654" s="4"/>
      <c r="E654" s="4"/>
      <c r="F654" s="4"/>
    </row>
    <row r="655" ht="14.25" customHeight="1">
      <c r="A655" s="4"/>
      <c r="B655" s="4"/>
      <c r="C655" s="4"/>
      <c r="D655" s="4"/>
      <c r="E655" s="4"/>
      <c r="F655" s="4"/>
    </row>
    <row r="656" ht="14.25" customHeight="1">
      <c r="A656" s="4"/>
      <c r="B656" s="4"/>
      <c r="C656" s="4"/>
      <c r="D656" s="4"/>
      <c r="E656" s="4"/>
      <c r="F656" s="4"/>
    </row>
    <row r="657" ht="14.25" customHeight="1">
      <c r="A657" s="4"/>
      <c r="B657" s="4"/>
      <c r="C657" s="4"/>
      <c r="D657" s="4"/>
      <c r="E657" s="4"/>
      <c r="F657" s="4"/>
    </row>
    <row r="658" ht="14.25" customHeight="1">
      <c r="A658" s="4"/>
      <c r="B658" s="4"/>
      <c r="C658" s="4"/>
      <c r="D658" s="4"/>
      <c r="E658" s="4"/>
      <c r="F658" s="4"/>
    </row>
    <row r="659" ht="14.25" customHeight="1">
      <c r="A659" s="4"/>
      <c r="B659" s="4"/>
      <c r="C659" s="4"/>
      <c r="D659" s="4"/>
      <c r="E659" s="4"/>
      <c r="F659" s="4"/>
    </row>
    <row r="660" ht="14.25" customHeight="1">
      <c r="A660" s="4"/>
      <c r="B660" s="4"/>
      <c r="C660" s="4"/>
      <c r="D660" s="4"/>
      <c r="E660" s="4"/>
      <c r="F660" s="4"/>
    </row>
    <row r="661" ht="14.25" customHeight="1">
      <c r="A661" s="4"/>
      <c r="B661" s="4"/>
      <c r="C661" s="4"/>
      <c r="D661" s="4"/>
      <c r="E661" s="4"/>
      <c r="F661" s="4"/>
    </row>
    <row r="662" ht="14.25" customHeight="1">
      <c r="A662" s="4"/>
      <c r="B662" s="4"/>
      <c r="C662" s="4"/>
      <c r="D662" s="4"/>
      <c r="E662" s="4"/>
      <c r="F662" s="4"/>
    </row>
    <row r="663" ht="14.25" customHeight="1">
      <c r="A663" s="4"/>
      <c r="B663" s="4"/>
      <c r="C663" s="4"/>
      <c r="D663" s="4"/>
      <c r="E663" s="4"/>
      <c r="F663" s="4"/>
    </row>
    <row r="664" ht="14.25" customHeight="1">
      <c r="A664" s="4"/>
      <c r="B664" s="4"/>
      <c r="C664" s="4"/>
      <c r="D664" s="4"/>
      <c r="E664" s="4"/>
      <c r="F664" s="4"/>
    </row>
    <row r="665" ht="14.25" customHeight="1">
      <c r="A665" s="4"/>
      <c r="B665" s="4"/>
      <c r="C665" s="4"/>
      <c r="D665" s="4"/>
      <c r="E665" s="4"/>
      <c r="F665" s="4"/>
    </row>
    <row r="666" ht="14.25" customHeight="1">
      <c r="A666" s="4"/>
      <c r="B666" s="4"/>
      <c r="C666" s="4"/>
      <c r="D666" s="4"/>
      <c r="E666" s="4"/>
      <c r="F666" s="4"/>
    </row>
    <row r="667" ht="14.25" customHeight="1">
      <c r="A667" s="4"/>
      <c r="B667" s="4"/>
      <c r="C667" s="4"/>
      <c r="D667" s="4"/>
      <c r="E667" s="4"/>
      <c r="F667" s="4"/>
    </row>
    <row r="668" ht="14.25" customHeight="1">
      <c r="A668" s="4"/>
      <c r="B668" s="4"/>
      <c r="C668" s="4"/>
      <c r="D668" s="4"/>
      <c r="E668" s="4"/>
      <c r="F668" s="4"/>
    </row>
    <row r="669" ht="14.25" customHeight="1">
      <c r="A669" s="4"/>
      <c r="B669" s="4"/>
      <c r="C669" s="4"/>
      <c r="D669" s="4"/>
      <c r="E669" s="4"/>
      <c r="F669" s="4"/>
    </row>
    <row r="670" ht="14.25" customHeight="1">
      <c r="A670" s="4"/>
      <c r="B670" s="4"/>
      <c r="C670" s="4"/>
      <c r="D670" s="4"/>
      <c r="E670" s="4"/>
      <c r="F670" s="4"/>
    </row>
    <row r="671" ht="14.25" customHeight="1">
      <c r="A671" s="4"/>
      <c r="B671" s="4"/>
      <c r="C671" s="4"/>
      <c r="D671" s="4"/>
      <c r="E671" s="4"/>
      <c r="F671" s="4"/>
    </row>
    <row r="672" ht="14.25" customHeight="1">
      <c r="A672" s="4"/>
      <c r="B672" s="4"/>
      <c r="C672" s="4"/>
      <c r="D672" s="4"/>
      <c r="E672" s="4"/>
      <c r="F672" s="4"/>
    </row>
    <row r="673" ht="14.25" customHeight="1">
      <c r="A673" s="4"/>
      <c r="B673" s="4"/>
      <c r="C673" s="4"/>
      <c r="D673" s="4"/>
      <c r="E673" s="4"/>
      <c r="F673" s="4"/>
    </row>
    <row r="674" ht="14.25" customHeight="1">
      <c r="A674" s="4"/>
      <c r="B674" s="4"/>
      <c r="C674" s="4"/>
      <c r="D674" s="4"/>
      <c r="E674" s="4"/>
      <c r="F674" s="4"/>
    </row>
    <row r="675" ht="14.25" customHeight="1">
      <c r="A675" s="4"/>
      <c r="B675" s="4"/>
      <c r="C675" s="4"/>
      <c r="D675" s="4"/>
      <c r="E675" s="4"/>
      <c r="F675" s="4"/>
    </row>
    <row r="676" ht="14.25" customHeight="1">
      <c r="A676" s="4"/>
      <c r="B676" s="4"/>
      <c r="C676" s="4"/>
      <c r="D676" s="4"/>
      <c r="E676" s="4"/>
      <c r="F676" s="4"/>
    </row>
    <row r="677" ht="14.25" customHeight="1">
      <c r="A677" s="4"/>
      <c r="B677" s="4"/>
      <c r="C677" s="4"/>
      <c r="D677" s="4"/>
      <c r="E677" s="4"/>
      <c r="F677" s="4"/>
    </row>
    <row r="678" ht="14.25" customHeight="1">
      <c r="A678" s="4"/>
      <c r="B678" s="4"/>
      <c r="C678" s="4"/>
      <c r="D678" s="4"/>
      <c r="E678" s="4"/>
      <c r="F678" s="4"/>
    </row>
    <row r="679" ht="14.25" customHeight="1">
      <c r="A679" s="4"/>
      <c r="B679" s="4"/>
      <c r="C679" s="4"/>
      <c r="D679" s="4"/>
      <c r="E679" s="4"/>
      <c r="F679" s="4"/>
    </row>
    <row r="680" ht="14.25" customHeight="1">
      <c r="A680" s="4"/>
      <c r="B680" s="4"/>
      <c r="C680" s="4"/>
      <c r="D680" s="4"/>
      <c r="E680" s="4"/>
      <c r="F680" s="4"/>
    </row>
    <row r="681" ht="14.25" customHeight="1">
      <c r="A681" s="4"/>
      <c r="B681" s="4"/>
      <c r="C681" s="4"/>
      <c r="D681" s="4"/>
      <c r="E681" s="4"/>
      <c r="F681" s="4"/>
    </row>
    <row r="682" ht="14.25" customHeight="1">
      <c r="A682" s="4"/>
      <c r="B682" s="4"/>
      <c r="C682" s="4"/>
      <c r="D682" s="4"/>
      <c r="E682" s="4"/>
      <c r="F682" s="4"/>
    </row>
    <row r="683" ht="14.25" customHeight="1">
      <c r="A683" s="4"/>
      <c r="B683" s="4"/>
      <c r="C683" s="4"/>
      <c r="D683" s="4"/>
      <c r="E683" s="4"/>
      <c r="F683" s="4"/>
    </row>
    <row r="684" ht="14.25" customHeight="1">
      <c r="A684" s="4"/>
      <c r="B684" s="4"/>
      <c r="C684" s="4"/>
      <c r="D684" s="4"/>
      <c r="E684" s="4"/>
      <c r="F684" s="4"/>
    </row>
    <row r="685" ht="14.25" customHeight="1">
      <c r="A685" s="4"/>
      <c r="B685" s="4"/>
      <c r="C685" s="4"/>
      <c r="D685" s="4"/>
      <c r="E685" s="4"/>
      <c r="F685" s="4"/>
    </row>
    <row r="686" ht="14.25" customHeight="1">
      <c r="A686" s="4"/>
      <c r="B686" s="4"/>
      <c r="C686" s="4"/>
      <c r="D686" s="4"/>
      <c r="E686" s="4"/>
      <c r="F686" s="4"/>
    </row>
    <row r="687" ht="14.25" customHeight="1">
      <c r="A687" s="4"/>
      <c r="B687" s="4"/>
      <c r="C687" s="4"/>
      <c r="D687" s="4"/>
      <c r="E687" s="4"/>
      <c r="F687" s="4"/>
    </row>
    <row r="688" ht="14.25" customHeight="1">
      <c r="A688" s="4"/>
      <c r="B688" s="4"/>
      <c r="C688" s="4"/>
      <c r="D688" s="4"/>
      <c r="E688" s="4"/>
      <c r="F688" s="4"/>
    </row>
    <row r="689" ht="14.25" customHeight="1">
      <c r="A689" s="4"/>
      <c r="B689" s="4"/>
      <c r="C689" s="4"/>
      <c r="D689" s="4"/>
      <c r="E689" s="4"/>
      <c r="F689" s="4"/>
    </row>
    <row r="690" ht="14.25" customHeight="1">
      <c r="A690" s="4"/>
      <c r="B690" s="4"/>
      <c r="C690" s="4"/>
      <c r="D690" s="4"/>
      <c r="E690" s="4"/>
      <c r="F690" s="4"/>
    </row>
    <row r="691" ht="14.25" customHeight="1">
      <c r="A691" s="4"/>
      <c r="B691" s="4"/>
      <c r="C691" s="4"/>
      <c r="D691" s="4"/>
      <c r="E691" s="4"/>
      <c r="F691" s="4"/>
    </row>
    <row r="692" ht="14.25" customHeight="1">
      <c r="A692" s="4"/>
      <c r="B692" s="4"/>
      <c r="C692" s="4"/>
      <c r="D692" s="4"/>
      <c r="E692" s="4"/>
      <c r="F692" s="4"/>
    </row>
    <row r="693" ht="14.25" customHeight="1">
      <c r="A693" s="4"/>
      <c r="B693" s="4"/>
      <c r="C693" s="4"/>
      <c r="D693" s="4"/>
      <c r="E693" s="4"/>
      <c r="F693" s="4"/>
    </row>
    <row r="694" ht="14.25" customHeight="1">
      <c r="A694" s="4"/>
      <c r="B694" s="4"/>
      <c r="C694" s="4"/>
      <c r="D694" s="4"/>
      <c r="E694" s="4"/>
      <c r="F694" s="4"/>
    </row>
    <row r="695" ht="14.25" customHeight="1">
      <c r="A695" s="4"/>
      <c r="B695" s="4"/>
      <c r="C695" s="4"/>
      <c r="D695" s="4"/>
      <c r="E695" s="4"/>
      <c r="F695" s="4"/>
    </row>
    <row r="696" ht="14.25" customHeight="1">
      <c r="A696" s="4"/>
      <c r="B696" s="4"/>
      <c r="C696" s="4"/>
      <c r="D696" s="4"/>
      <c r="E696" s="4"/>
      <c r="F696" s="4"/>
    </row>
    <row r="697" ht="14.25" customHeight="1">
      <c r="A697" s="4"/>
      <c r="B697" s="4"/>
      <c r="C697" s="4"/>
      <c r="D697" s="4"/>
      <c r="E697" s="4"/>
      <c r="F697" s="4"/>
    </row>
    <row r="698" ht="14.25" customHeight="1">
      <c r="A698" s="4"/>
      <c r="B698" s="4"/>
      <c r="C698" s="4"/>
      <c r="D698" s="4"/>
      <c r="E698" s="4"/>
      <c r="F698" s="4"/>
    </row>
    <row r="699" ht="14.25" customHeight="1">
      <c r="A699" s="4"/>
      <c r="B699" s="4"/>
      <c r="C699" s="4"/>
      <c r="D699" s="4"/>
      <c r="E699" s="4"/>
      <c r="F699" s="4"/>
    </row>
    <row r="700" ht="14.25" customHeight="1">
      <c r="A700" s="4"/>
      <c r="B700" s="4"/>
      <c r="C700" s="4"/>
      <c r="D700" s="4"/>
      <c r="E700" s="4"/>
      <c r="F700" s="4"/>
    </row>
    <row r="701" ht="14.25" customHeight="1">
      <c r="A701" s="4"/>
      <c r="B701" s="4"/>
      <c r="C701" s="4"/>
      <c r="D701" s="4"/>
      <c r="E701" s="4"/>
      <c r="F701" s="4"/>
    </row>
    <row r="702" ht="14.25" customHeight="1">
      <c r="A702" s="4"/>
      <c r="B702" s="4"/>
      <c r="C702" s="4"/>
      <c r="D702" s="4"/>
      <c r="E702" s="4"/>
      <c r="F702" s="4"/>
    </row>
    <row r="703" ht="14.25" customHeight="1">
      <c r="A703" s="4"/>
      <c r="B703" s="4"/>
      <c r="C703" s="4"/>
      <c r="D703" s="4"/>
      <c r="E703" s="4"/>
      <c r="F703" s="4"/>
    </row>
    <row r="704" ht="14.25" customHeight="1">
      <c r="A704" s="4"/>
      <c r="B704" s="4"/>
      <c r="C704" s="4"/>
      <c r="D704" s="4"/>
      <c r="E704" s="4"/>
      <c r="F704" s="4"/>
    </row>
    <row r="705" ht="14.25" customHeight="1">
      <c r="A705" s="4"/>
      <c r="B705" s="4"/>
      <c r="C705" s="4"/>
      <c r="D705" s="4"/>
      <c r="E705" s="4"/>
      <c r="F705" s="4"/>
    </row>
    <row r="706" ht="14.25" customHeight="1">
      <c r="A706" s="4"/>
      <c r="B706" s="4"/>
      <c r="C706" s="4"/>
      <c r="D706" s="4"/>
      <c r="E706" s="4"/>
      <c r="F706" s="4"/>
    </row>
    <row r="707" ht="14.25" customHeight="1">
      <c r="A707" s="4"/>
      <c r="B707" s="4"/>
      <c r="C707" s="4"/>
      <c r="D707" s="4"/>
      <c r="E707" s="4"/>
      <c r="F707" s="4"/>
    </row>
    <row r="708" ht="14.25" customHeight="1">
      <c r="A708" s="4"/>
      <c r="B708" s="4"/>
      <c r="C708" s="4"/>
      <c r="D708" s="4"/>
      <c r="E708" s="4"/>
      <c r="F708" s="4"/>
    </row>
    <row r="709" ht="14.25" customHeight="1">
      <c r="A709" s="4"/>
      <c r="B709" s="4"/>
      <c r="C709" s="4"/>
      <c r="D709" s="4"/>
      <c r="E709" s="4"/>
      <c r="F709" s="4"/>
    </row>
    <row r="710" ht="14.25" customHeight="1">
      <c r="A710" s="4"/>
      <c r="B710" s="4"/>
      <c r="C710" s="4"/>
      <c r="D710" s="4"/>
      <c r="E710" s="4"/>
      <c r="F710" s="4"/>
    </row>
    <row r="711" ht="14.25" customHeight="1">
      <c r="A711" s="4"/>
      <c r="B711" s="4"/>
      <c r="C711" s="4"/>
      <c r="D711" s="4"/>
      <c r="E711" s="4"/>
      <c r="F711" s="4"/>
    </row>
    <row r="712" ht="14.25" customHeight="1">
      <c r="A712" s="4"/>
      <c r="B712" s="4"/>
      <c r="C712" s="4"/>
      <c r="D712" s="4"/>
      <c r="E712" s="4"/>
      <c r="F712" s="4"/>
    </row>
    <row r="713" ht="14.25" customHeight="1">
      <c r="A713" s="4"/>
      <c r="B713" s="4"/>
      <c r="C713" s="4"/>
      <c r="D713" s="4"/>
      <c r="E713" s="4"/>
      <c r="F713" s="4"/>
    </row>
    <row r="714" ht="14.25" customHeight="1">
      <c r="A714" s="4"/>
      <c r="B714" s="4"/>
      <c r="C714" s="4"/>
      <c r="D714" s="4"/>
      <c r="E714" s="4"/>
      <c r="F714" s="4"/>
    </row>
    <row r="715" ht="14.25" customHeight="1">
      <c r="A715" s="4"/>
      <c r="B715" s="4"/>
      <c r="C715" s="4"/>
      <c r="D715" s="4"/>
      <c r="E715" s="4"/>
      <c r="F715" s="4"/>
    </row>
    <row r="716" ht="14.25" customHeight="1">
      <c r="A716" s="4"/>
      <c r="B716" s="4"/>
      <c r="C716" s="4"/>
      <c r="D716" s="4"/>
      <c r="E716" s="4"/>
      <c r="F716" s="4"/>
    </row>
    <row r="717" ht="14.25" customHeight="1">
      <c r="A717" s="4"/>
      <c r="B717" s="4"/>
      <c r="C717" s="4"/>
      <c r="D717" s="4"/>
      <c r="E717" s="4"/>
      <c r="F717" s="4"/>
    </row>
    <row r="718" ht="14.25" customHeight="1">
      <c r="A718" s="4"/>
      <c r="B718" s="4"/>
      <c r="C718" s="4"/>
      <c r="D718" s="4"/>
      <c r="E718" s="4"/>
      <c r="F718" s="4"/>
    </row>
    <row r="719" ht="14.25" customHeight="1">
      <c r="A719" s="4"/>
      <c r="B719" s="4"/>
      <c r="C719" s="4"/>
      <c r="D719" s="4"/>
      <c r="E719" s="4"/>
      <c r="F719" s="4"/>
    </row>
    <row r="720" ht="14.25" customHeight="1">
      <c r="A720" s="4"/>
      <c r="B720" s="4"/>
      <c r="C720" s="4"/>
      <c r="D720" s="4"/>
      <c r="E720" s="4"/>
      <c r="F720" s="4"/>
    </row>
    <row r="721" ht="14.25" customHeight="1">
      <c r="A721" s="4"/>
      <c r="B721" s="4"/>
      <c r="C721" s="4"/>
      <c r="D721" s="4"/>
      <c r="E721" s="4"/>
      <c r="F721" s="4"/>
    </row>
    <row r="722" ht="14.25" customHeight="1">
      <c r="A722" s="4"/>
      <c r="B722" s="4"/>
      <c r="C722" s="4"/>
      <c r="D722" s="4"/>
      <c r="E722" s="4"/>
      <c r="F722" s="4"/>
    </row>
    <row r="723" ht="14.25" customHeight="1">
      <c r="A723" s="4"/>
      <c r="B723" s="4"/>
      <c r="C723" s="4"/>
      <c r="D723" s="4"/>
      <c r="E723" s="4"/>
      <c r="F723" s="4"/>
    </row>
    <row r="724" ht="14.25" customHeight="1">
      <c r="A724" s="4"/>
      <c r="B724" s="4"/>
      <c r="C724" s="4"/>
      <c r="D724" s="4"/>
      <c r="E724" s="4"/>
      <c r="F724" s="4"/>
    </row>
    <row r="725" ht="14.25" customHeight="1">
      <c r="A725" s="4"/>
      <c r="B725" s="4"/>
      <c r="C725" s="4"/>
      <c r="D725" s="4"/>
      <c r="E725" s="4"/>
      <c r="F725" s="4"/>
    </row>
    <row r="726" ht="14.25" customHeight="1">
      <c r="A726" s="4"/>
      <c r="B726" s="4"/>
      <c r="C726" s="4"/>
      <c r="D726" s="4"/>
      <c r="E726" s="4"/>
      <c r="F726" s="4"/>
    </row>
    <row r="727" ht="14.25" customHeight="1">
      <c r="A727" s="4"/>
      <c r="B727" s="4"/>
      <c r="C727" s="4"/>
      <c r="D727" s="4"/>
      <c r="E727" s="4"/>
      <c r="F727" s="4"/>
    </row>
    <row r="728" ht="14.25" customHeight="1">
      <c r="A728" s="4"/>
      <c r="B728" s="4"/>
      <c r="C728" s="4"/>
      <c r="D728" s="4"/>
      <c r="E728" s="4"/>
      <c r="F728" s="4"/>
    </row>
    <row r="729" ht="14.25" customHeight="1">
      <c r="A729" s="4"/>
      <c r="B729" s="4"/>
      <c r="C729" s="4"/>
      <c r="D729" s="4"/>
      <c r="E729" s="4"/>
      <c r="F729" s="4"/>
    </row>
    <row r="730" ht="14.25" customHeight="1">
      <c r="A730" s="4"/>
      <c r="B730" s="4"/>
      <c r="C730" s="4"/>
      <c r="D730" s="4"/>
      <c r="E730" s="4"/>
      <c r="F730" s="4"/>
    </row>
    <row r="731" ht="14.25" customHeight="1">
      <c r="A731" s="4"/>
      <c r="B731" s="4"/>
      <c r="C731" s="4"/>
      <c r="D731" s="4"/>
      <c r="E731" s="4"/>
      <c r="F731" s="4"/>
    </row>
    <row r="732" ht="14.25" customHeight="1">
      <c r="A732" s="4"/>
      <c r="B732" s="4"/>
      <c r="C732" s="4"/>
      <c r="D732" s="4"/>
      <c r="E732" s="4"/>
      <c r="F732" s="4"/>
    </row>
    <row r="733" ht="14.25" customHeight="1">
      <c r="A733" s="4"/>
      <c r="B733" s="4"/>
      <c r="C733" s="4"/>
      <c r="D733" s="4"/>
      <c r="E733" s="4"/>
      <c r="F733" s="4"/>
    </row>
    <row r="734" ht="14.25" customHeight="1">
      <c r="A734" s="4"/>
      <c r="B734" s="4"/>
      <c r="C734" s="4"/>
      <c r="D734" s="4"/>
      <c r="E734" s="4"/>
      <c r="F734" s="4"/>
    </row>
    <row r="735" ht="14.25" customHeight="1">
      <c r="A735" s="4"/>
      <c r="B735" s="4"/>
      <c r="C735" s="4"/>
      <c r="D735" s="4"/>
      <c r="E735" s="4"/>
      <c r="F735" s="4"/>
    </row>
    <row r="736" ht="14.25" customHeight="1">
      <c r="A736" s="4"/>
      <c r="B736" s="4"/>
      <c r="C736" s="4"/>
      <c r="D736" s="4"/>
      <c r="E736" s="4"/>
      <c r="F736" s="4"/>
    </row>
    <row r="737" ht="14.25" customHeight="1">
      <c r="A737" s="4"/>
      <c r="B737" s="4"/>
      <c r="C737" s="4"/>
      <c r="D737" s="4"/>
      <c r="E737" s="4"/>
      <c r="F737" s="4"/>
    </row>
    <row r="738" ht="14.25" customHeight="1">
      <c r="A738" s="4"/>
      <c r="B738" s="4"/>
      <c r="C738" s="4"/>
      <c r="D738" s="4"/>
      <c r="E738" s="4"/>
      <c r="F738" s="4"/>
    </row>
    <row r="739" ht="14.25" customHeight="1">
      <c r="A739" s="4"/>
      <c r="B739" s="4"/>
      <c r="C739" s="4"/>
      <c r="D739" s="4"/>
      <c r="E739" s="4"/>
      <c r="F739" s="4"/>
    </row>
    <row r="740" ht="14.25" customHeight="1">
      <c r="A740" s="4"/>
      <c r="B740" s="4"/>
      <c r="C740" s="4"/>
      <c r="D740" s="4"/>
      <c r="E740" s="4"/>
      <c r="F740" s="4"/>
    </row>
    <row r="741" ht="14.25" customHeight="1">
      <c r="A741" s="4"/>
      <c r="B741" s="4"/>
      <c r="C741" s="4"/>
      <c r="D741" s="4"/>
      <c r="E741" s="4"/>
      <c r="F741" s="4"/>
    </row>
    <row r="742" ht="14.25" customHeight="1">
      <c r="A742" s="4"/>
      <c r="B742" s="4"/>
      <c r="C742" s="4"/>
      <c r="D742" s="4"/>
      <c r="E742" s="4"/>
      <c r="F742" s="4"/>
    </row>
    <row r="743" ht="14.25" customHeight="1">
      <c r="A743" s="4"/>
      <c r="B743" s="4"/>
      <c r="C743" s="4"/>
      <c r="D743" s="4"/>
      <c r="E743" s="4"/>
      <c r="F743" s="4"/>
    </row>
    <row r="744" ht="14.25" customHeight="1">
      <c r="A744" s="4"/>
      <c r="B744" s="4"/>
      <c r="C744" s="4"/>
      <c r="D744" s="4"/>
      <c r="E744" s="4"/>
      <c r="F744" s="4"/>
    </row>
    <row r="745" ht="14.25" customHeight="1">
      <c r="A745" s="4"/>
      <c r="B745" s="4"/>
      <c r="C745" s="4"/>
      <c r="D745" s="4"/>
      <c r="E745" s="4"/>
      <c r="F745" s="4"/>
    </row>
    <row r="746" ht="14.25" customHeight="1">
      <c r="A746" s="4"/>
      <c r="B746" s="4"/>
      <c r="C746" s="4"/>
      <c r="D746" s="4"/>
      <c r="E746" s="4"/>
      <c r="F746" s="4"/>
    </row>
    <row r="747" ht="14.25" customHeight="1">
      <c r="A747" s="4"/>
      <c r="B747" s="4"/>
      <c r="C747" s="4"/>
      <c r="D747" s="4"/>
      <c r="E747" s="4"/>
      <c r="F747" s="4"/>
    </row>
    <row r="748" ht="14.25" customHeight="1">
      <c r="A748" s="4"/>
      <c r="B748" s="4"/>
      <c r="C748" s="4"/>
      <c r="D748" s="4"/>
      <c r="E748" s="4"/>
      <c r="F748" s="4"/>
    </row>
    <row r="749" ht="14.25" customHeight="1">
      <c r="A749" s="4"/>
      <c r="B749" s="4"/>
      <c r="C749" s="4"/>
      <c r="D749" s="4"/>
      <c r="E749" s="4"/>
      <c r="F749" s="4"/>
    </row>
    <row r="750" ht="14.25" customHeight="1">
      <c r="A750" s="4"/>
      <c r="B750" s="4"/>
      <c r="C750" s="4"/>
      <c r="D750" s="4"/>
      <c r="E750" s="4"/>
      <c r="F750" s="4"/>
    </row>
    <row r="751" ht="14.25" customHeight="1">
      <c r="A751" s="4"/>
      <c r="B751" s="4"/>
      <c r="C751" s="4"/>
      <c r="D751" s="4"/>
      <c r="E751" s="4"/>
      <c r="F751" s="4"/>
    </row>
    <row r="752" ht="14.25" customHeight="1">
      <c r="A752" s="4"/>
      <c r="B752" s="4"/>
      <c r="C752" s="4"/>
      <c r="D752" s="4"/>
      <c r="E752" s="4"/>
      <c r="F752" s="4"/>
    </row>
    <row r="753" ht="14.25" customHeight="1">
      <c r="A753" s="4"/>
      <c r="B753" s="4"/>
      <c r="C753" s="4"/>
      <c r="D753" s="4"/>
      <c r="E753" s="4"/>
      <c r="F753" s="4"/>
    </row>
    <row r="754" ht="14.25" customHeight="1">
      <c r="A754" s="4"/>
      <c r="B754" s="4"/>
      <c r="C754" s="4"/>
      <c r="D754" s="4"/>
      <c r="E754" s="4"/>
      <c r="F754" s="4"/>
    </row>
    <row r="755" ht="14.25" customHeight="1">
      <c r="A755" s="4"/>
      <c r="B755" s="4"/>
      <c r="C755" s="4"/>
      <c r="D755" s="4"/>
      <c r="E755" s="4"/>
      <c r="F755" s="4"/>
    </row>
    <row r="756" ht="14.25" customHeight="1">
      <c r="A756" s="4"/>
      <c r="B756" s="4"/>
      <c r="C756" s="4"/>
      <c r="D756" s="4"/>
      <c r="E756" s="4"/>
      <c r="F756" s="4"/>
    </row>
    <row r="757" ht="14.25" customHeight="1">
      <c r="A757" s="4"/>
      <c r="B757" s="4"/>
      <c r="C757" s="4"/>
      <c r="D757" s="4"/>
      <c r="E757" s="4"/>
      <c r="F757" s="4"/>
    </row>
    <row r="758" ht="14.25" customHeight="1">
      <c r="A758" s="4"/>
      <c r="B758" s="4"/>
      <c r="C758" s="4"/>
      <c r="D758" s="4"/>
      <c r="E758" s="4"/>
      <c r="F758" s="4"/>
    </row>
    <row r="759" ht="14.25" customHeight="1">
      <c r="A759" s="4"/>
      <c r="B759" s="4"/>
      <c r="C759" s="4"/>
      <c r="D759" s="4"/>
      <c r="E759" s="4"/>
      <c r="F759" s="4"/>
    </row>
    <row r="760" ht="14.25" customHeight="1">
      <c r="A760" s="4"/>
      <c r="B760" s="4"/>
      <c r="C760" s="4"/>
      <c r="D760" s="4"/>
      <c r="E760" s="4"/>
      <c r="F760" s="4"/>
    </row>
    <row r="761" ht="14.25" customHeight="1">
      <c r="A761" s="4"/>
      <c r="B761" s="4"/>
      <c r="C761" s="4"/>
      <c r="D761" s="4"/>
      <c r="E761" s="4"/>
      <c r="F761" s="4"/>
    </row>
    <row r="762" ht="14.25" customHeight="1">
      <c r="A762" s="4"/>
      <c r="B762" s="4"/>
      <c r="C762" s="4"/>
      <c r="D762" s="4"/>
      <c r="E762" s="4"/>
      <c r="F762" s="4"/>
    </row>
    <row r="763" ht="14.25" customHeight="1">
      <c r="A763" s="4"/>
      <c r="B763" s="4"/>
      <c r="C763" s="4"/>
      <c r="D763" s="4"/>
      <c r="E763" s="4"/>
      <c r="F763" s="4"/>
    </row>
    <row r="764" ht="14.25" customHeight="1">
      <c r="A764" s="4"/>
      <c r="B764" s="4"/>
      <c r="C764" s="4"/>
      <c r="D764" s="4"/>
      <c r="E764" s="4"/>
      <c r="F764" s="4"/>
    </row>
    <row r="765" ht="14.25" customHeight="1">
      <c r="A765" s="4"/>
      <c r="B765" s="4"/>
      <c r="C765" s="4"/>
      <c r="D765" s="4"/>
      <c r="E765" s="4"/>
      <c r="F765" s="4"/>
    </row>
    <row r="766" ht="14.25" customHeight="1">
      <c r="A766" s="4"/>
      <c r="B766" s="4"/>
      <c r="C766" s="4"/>
      <c r="D766" s="4"/>
      <c r="E766" s="4"/>
      <c r="F766" s="4"/>
    </row>
    <row r="767" ht="14.25" customHeight="1">
      <c r="A767" s="4"/>
      <c r="B767" s="4"/>
      <c r="C767" s="4"/>
      <c r="D767" s="4"/>
      <c r="E767" s="4"/>
      <c r="F767" s="4"/>
    </row>
    <row r="768" ht="14.25" customHeight="1">
      <c r="A768" s="4"/>
      <c r="B768" s="4"/>
      <c r="C768" s="4"/>
      <c r="D768" s="4"/>
      <c r="E768" s="4"/>
      <c r="F768" s="4"/>
    </row>
    <row r="769" ht="14.25" customHeight="1">
      <c r="A769" s="4"/>
      <c r="B769" s="4"/>
      <c r="C769" s="4"/>
      <c r="D769" s="4"/>
      <c r="E769" s="4"/>
      <c r="F769" s="4"/>
    </row>
    <row r="770" ht="14.25" customHeight="1">
      <c r="A770" s="4"/>
      <c r="B770" s="4"/>
      <c r="C770" s="4"/>
      <c r="D770" s="4"/>
      <c r="E770" s="4"/>
      <c r="F770" s="4"/>
    </row>
    <row r="771" ht="14.25" customHeight="1">
      <c r="A771" s="4"/>
      <c r="B771" s="4"/>
      <c r="C771" s="4"/>
      <c r="D771" s="4"/>
      <c r="E771" s="4"/>
      <c r="F771" s="4"/>
    </row>
    <row r="772" ht="14.25" customHeight="1">
      <c r="A772" s="4"/>
      <c r="B772" s="4"/>
      <c r="C772" s="4"/>
      <c r="D772" s="4"/>
      <c r="E772" s="4"/>
      <c r="F772" s="4"/>
    </row>
    <row r="773" ht="14.25" customHeight="1">
      <c r="A773" s="4"/>
      <c r="B773" s="4"/>
      <c r="C773" s="4"/>
      <c r="D773" s="4"/>
      <c r="E773" s="4"/>
      <c r="F773" s="4"/>
    </row>
    <row r="774" ht="14.25" customHeight="1">
      <c r="A774" s="4"/>
      <c r="B774" s="4"/>
      <c r="C774" s="4"/>
      <c r="D774" s="4"/>
      <c r="E774" s="4"/>
      <c r="F774" s="4"/>
    </row>
    <row r="775" ht="14.25" customHeight="1">
      <c r="A775" s="4"/>
      <c r="B775" s="4"/>
      <c r="C775" s="4"/>
      <c r="D775" s="4"/>
      <c r="E775" s="4"/>
      <c r="F775" s="4"/>
    </row>
    <row r="776" ht="14.25" customHeight="1">
      <c r="A776" s="4"/>
      <c r="B776" s="4"/>
      <c r="C776" s="4"/>
      <c r="D776" s="4"/>
      <c r="E776" s="4"/>
      <c r="F776" s="4"/>
    </row>
    <row r="777" ht="14.25" customHeight="1">
      <c r="A777" s="4"/>
      <c r="B777" s="4"/>
      <c r="C777" s="4"/>
      <c r="D777" s="4"/>
      <c r="E777" s="4"/>
      <c r="F777" s="4"/>
    </row>
    <row r="778" ht="14.25" customHeight="1">
      <c r="A778" s="4"/>
      <c r="B778" s="4"/>
      <c r="C778" s="4"/>
      <c r="D778" s="4"/>
      <c r="E778" s="4"/>
      <c r="F778" s="4"/>
    </row>
    <row r="779" ht="14.25" customHeight="1">
      <c r="A779" s="4"/>
      <c r="B779" s="4"/>
      <c r="C779" s="4"/>
      <c r="D779" s="4"/>
      <c r="E779" s="4"/>
      <c r="F779" s="4"/>
    </row>
    <row r="780" ht="14.25" customHeight="1">
      <c r="A780" s="4"/>
      <c r="B780" s="4"/>
      <c r="C780" s="4"/>
      <c r="D780" s="4"/>
      <c r="E780" s="4"/>
      <c r="F780" s="4"/>
    </row>
    <row r="781" ht="14.25" customHeight="1">
      <c r="A781" s="4"/>
      <c r="B781" s="4"/>
      <c r="C781" s="4"/>
      <c r="D781" s="4"/>
      <c r="E781" s="4"/>
      <c r="F781" s="4"/>
    </row>
    <row r="782" ht="14.25" customHeight="1">
      <c r="A782" s="4"/>
      <c r="B782" s="4"/>
      <c r="C782" s="4"/>
      <c r="D782" s="4"/>
      <c r="E782" s="4"/>
      <c r="F782" s="4"/>
    </row>
    <row r="783" ht="14.25" customHeight="1">
      <c r="A783" s="4"/>
      <c r="B783" s="4"/>
      <c r="C783" s="4"/>
      <c r="D783" s="4"/>
      <c r="E783" s="4"/>
      <c r="F783" s="4"/>
    </row>
    <row r="784" ht="14.25" customHeight="1">
      <c r="A784" s="4"/>
      <c r="B784" s="4"/>
      <c r="C784" s="4"/>
      <c r="D784" s="4"/>
      <c r="E784" s="4"/>
      <c r="F784" s="4"/>
    </row>
    <row r="785" ht="14.25" customHeight="1">
      <c r="A785" s="4"/>
      <c r="B785" s="4"/>
      <c r="C785" s="4"/>
      <c r="D785" s="4"/>
      <c r="E785" s="4"/>
      <c r="F785" s="4"/>
    </row>
    <row r="786" ht="14.25" customHeight="1">
      <c r="A786" s="4"/>
      <c r="B786" s="4"/>
      <c r="C786" s="4"/>
      <c r="D786" s="4"/>
      <c r="E786" s="4"/>
      <c r="F786" s="4"/>
    </row>
    <row r="787" ht="14.25" customHeight="1">
      <c r="A787" s="4"/>
      <c r="B787" s="4"/>
      <c r="C787" s="4"/>
      <c r="D787" s="4"/>
      <c r="E787" s="4"/>
      <c r="F787" s="4"/>
    </row>
    <row r="788" ht="14.25" customHeight="1">
      <c r="A788" s="4"/>
      <c r="B788" s="4"/>
      <c r="C788" s="4"/>
      <c r="D788" s="4"/>
      <c r="E788" s="4"/>
      <c r="F788" s="4"/>
    </row>
    <row r="789" ht="14.25" customHeight="1">
      <c r="A789" s="4"/>
      <c r="B789" s="4"/>
      <c r="C789" s="4"/>
      <c r="D789" s="4"/>
      <c r="E789" s="4"/>
      <c r="F789" s="4"/>
    </row>
    <row r="790" ht="14.25" customHeight="1">
      <c r="A790" s="4"/>
      <c r="B790" s="4"/>
      <c r="C790" s="4"/>
      <c r="D790" s="4"/>
      <c r="E790" s="4"/>
      <c r="F790" s="4"/>
    </row>
    <row r="791" ht="14.25" customHeight="1">
      <c r="A791" s="4"/>
      <c r="B791" s="4"/>
      <c r="C791" s="4"/>
      <c r="D791" s="4"/>
      <c r="E791" s="4"/>
      <c r="F791" s="4"/>
    </row>
    <row r="792" ht="14.25" customHeight="1">
      <c r="A792" s="4"/>
      <c r="B792" s="4"/>
      <c r="C792" s="4"/>
      <c r="D792" s="4"/>
      <c r="E792" s="4"/>
      <c r="F792" s="4"/>
    </row>
    <row r="793" ht="14.25" customHeight="1">
      <c r="A793" s="4"/>
      <c r="B793" s="4"/>
      <c r="C793" s="4"/>
      <c r="D793" s="4"/>
      <c r="E793" s="4"/>
      <c r="F793" s="4"/>
    </row>
    <row r="794" ht="14.25" customHeight="1">
      <c r="A794" s="4"/>
      <c r="B794" s="4"/>
      <c r="C794" s="4"/>
      <c r="D794" s="4"/>
      <c r="E794" s="4"/>
      <c r="F794" s="4"/>
    </row>
    <row r="795" ht="14.25" customHeight="1">
      <c r="A795" s="4"/>
      <c r="B795" s="4"/>
      <c r="C795" s="4"/>
      <c r="D795" s="4"/>
      <c r="E795" s="4"/>
      <c r="F795" s="4"/>
    </row>
    <row r="796" ht="14.25" customHeight="1">
      <c r="A796" s="4"/>
      <c r="B796" s="4"/>
      <c r="C796" s="4"/>
      <c r="D796" s="4"/>
      <c r="E796" s="4"/>
      <c r="F796" s="4"/>
    </row>
    <row r="797" ht="14.25" customHeight="1">
      <c r="A797" s="4"/>
      <c r="B797" s="4"/>
      <c r="C797" s="4"/>
      <c r="D797" s="4"/>
      <c r="E797" s="4"/>
      <c r="F797" s="4"/>
    </row>
    <row r="798" ht="14.25" customHeight="1">
      <c r="A798" s="4"/>
      <c r="B798" s="4"/>
      <c r="C798" s="4"/>
      <c r="D798" s="4"/>
      <c r="E798" s="4"/>
      <c r="F798" s="4"/>
    </row>
    <row r="799" ht="14.25" customHeight="1">
      <c r="A799" s="4"/>
      <c r="B799" s="4"/>
      <c r="C799" s="4"/>
      <c r="D799" s="4"/>
      <c r="E799" s="4"/>
      <c r="F799" s="4"/>
    </row>
    <row r="800" ht="14.25" customHeight="1">
      <c r="A800" s="4"/>
      <c r="B800" s="4"/>
      <c r="C800" s="4"/>
      <c r="D800" s="4"/>
      <c r="E800" s="4"/>
      <c r="F800" s="4"/>
    </row>
    <row r="801" ht="14.25" customHeight="1">
      <c r="A801" s="4"/>
      <c r="B801" s="4"/>
      <c r="C801" s="4"/>
      <c r="D801" s="4"/>
      <c r="E801" s="4"/>
      <c r="F801" s="4"/>
    </row>
    <row r="802" ht="14.25" customHeight="1">
      <c r="A802" s="4"/>
      <c r="B802" s="4"/>
      <c r="C802" s="4"/>
      <c r="D802" s="4"/>
      <c r="E802" s="4"/>
      <c r="F802" s="4"/>
    </row>
    <row r="803" ht="14.25" customHeight="1">
      <c r="A803" s="4"/>
      <c r="B803" s="4"/>
      <c r="C803" s="4"/>
      <c r="D803" s="4"/>
      <c r="E803" s="4"/>
      <c r="F803" s="4"/>
    </row>
    <row r="804" ht="14.25" customHeight="1">
      <c r="A804" s="4"/>
      <c r="B804" s="4"/>
      <c r="C804" s="4"/>
      <c r="D804" s="4"/>
      <c r="E804" s="4"/>
      <c r="F804" s="4"/>
    </row>
    <row r="805" ht="14.25" customHeight="1">
      <c r="A805" s="4"/>
      <c r="B805" s="4"/>
      <c r="C805" s="4"/>
      <c r="D805" s="4"/>
      <c r="E805" s="4"/>
      <c r="F805" s="4"/>
    </row>
    <row r="806" ht="14.25" customHeight="1">
      <c r="A806" s="4"/>
      <c r="B806" s="4"/>
      <c r="C806" s="4"/>
      <c r="D806" s="4"/>
      <c r="E806" s="4"/>
      <c r="F806" s="4"/>
    </row>
    <row r="807" ht="14.25" customHeight="1">
      <c r="A807" s="4"/>
      <c r="B807" s="4"/>
      <c r="C807" s="4"/>
      <c r="D807" s="4"/>
      <c r="E807" s="4"/>
      <c r="F807" s="4"/>
    </row>
    <row r="808" ht="14.25" customHeight="1">
      <c r="A808" s="4"/>
      <c r="B808" s="4"/>
      <c r="C808" s="4"/>
      <c r="D808" s="4"/>
      <c r="E808" s="4"/>
      <c r="F808" s="4"/>
    </row>
    <row r="809" ht="14.25" customHeight="1">
      <c r="A809" s="4"/>
      <c r="B809" s="4"/>
      <c r="C809" s="4"/>
      <c r="D809" s="4"/>
      <c r="E809" s="4"/>
      <c r="F809" s="4"/>
    </row>
    <row r="810" ht="14.25" customHeight="1">
      <c r="A810" s="4"/>
      <c r="B810" s="4"/>
      <c r="C810" s="4"/>
      <c r="D810" s="4"/>
      <c r="E810" s="4"/>
      <c r="F810" s="4"/>
    </row>
    <row r="811" ht="14.25" customHeight="1">
      <c r="A811" s="4"/>
      <c r="B811" s="4"/>
      <c r="C811" s="4"/>
      <c r="D811" s="4"/>
      <c r="E811" s="4"/>
      <c r="F811" s="4"/>
    </row>
    <row r="812" ht="14.25" customHeight="1">
      <c r="A812" s="4"/>
      <c r="B812" s="4"/>
      <c r="C812" s="4"/>
      <c r="D812" s="4"/>
      <c r="E812" s="4"/>
      <c r="F812" s="4"/>
    </row>
    <row r="813" ht="14.25" customHeight="1">
      <c r="A813" s="4"/>
      <c r="B813" s="4"/>
      <c r="C813" s="4"/>
      <c r="D813" s="4"/>
      <c r="E813" s="4"/>
      <c r="F813" s="4"/>
    </row>
    <row r="814" ht="14.25" customHeight="1">
      <c r="A814" s="4"/>
      <c r="B814" s="4"/>
      <c r="C814" s="4"/>
      <c r="D814" s="4"/>
      <c r="E814" s="4"/>
      <c r="F814" s="4"/>
    </row>
    <row r="815" ht="14.25" customHeight="1">
      <c r="A815" s="4"/>
      <c r="B815" s="4"/>
      <c r="C815" s="4"/>
      <c r="D815" s="4"/>
      <c r="E815" s="4"/>
      <c r="F815" s="4"/>
    </row>
    <row r="816" ht="14.25" customHeight="1">
      <c r="A816" s="4"/>
      <c r="B816" s="4"/>
      <c r="C816" s="4"/>
      <c r="D816" s="4"/>
      <c r="E816" s="4"/>
      <c r="F816" s="4"/>
    </row>
    <row r="817" ht="14.25" customHeight="1">
      <c r="A817" s="4"/>
      <c r="B817" s="4"/>
      <c r="C817" s="4"/>
      <c r="D817" s="4"/>
      <c r="E817" s="4"/>
      <c r="F817" s="4"/>
    </row>
    <row r="818" ht="14.25" customHeight="1">
      <c r="A818" s="4"/>
      <c r="B818" s="4"/>
      <c r="C818" s="4"/>
      <c r="D818" s="4"/>
      <c r="E818" s="4"/>
      <c r="F818" s="4"/>
    </row>
    <row r="819" ht="14.25" customHeight="1">
      <c r="A819" s="4"/>
      <c r="B819" s="4"/>
      <c r="C819" s="4"/>
      <c r="D819" s="4"/>
      <c r="E819" s="4"/>
      <c r="F819" s="4"/>
    </row>
    <row r="820" ht="14.25" customHeight="1">
      <c r="A820" s="4"/>
      <c r="B820" s="4"/>
      <c r="C820" s="4"/>
      <c r="D820" s="4"/>
      <c r="E820" s="4"/>
      <c r="F820" s="4"/>
    </row>
    <row r="821" ht="14.25" customHeight="1">
      <c r="A821" s="4"/>
      <c r="B821" s="4"/>
      <c r="C821" s="4"/>
      <c r="D821" s="4"/>
      <c r="E821" s="4"/>
      <c r="F821" s="4"/>
    </row>
    <row r="822" ht="14.25" customHeight="1">
      <c r="A822" s="4"/>
      <c r="B822" s="4"/>
      <c r="C822" s="4"/>
      <c r="D822" s="4"/>
      <c r="E822" s="4"/>
      <c r="F822" s="4"/>
    </row>
    <row r="823" ht="14.25" customHeight="1">
      <c r="A823" s="4"/>
      <c r="B823" s="4"/>
      <c r="C823" s="4"/>
      <c r="D823" s="4"/>
      <c r="E823" s="4"/>
      <c r="F823" s="4"/>
    </row>
    <row r="824" ht="14.25" customHeight="1">
      <c r="A824" s="4"/>
      <c r="B824" s="4"/>
      <c r="C824" s="4"/>
      <c r="D824" s="4"/>
      <c r="E824" s="4"/>
      <c r="F824" s="4"/>
    </row>
    <row r="825" ht="14.25" customHeight="1">
      <c r="A825" s="4"/>
      <c r="B825" s="4"/>
      <c r="C825" s="4"/>
      <c r="D825" s="4"/>
      <c r="E825" s="4"/>
      <c r="F825" s="4"/>
    </row>
    <row r="826" ht="14.25" customHeight="1">
      <c r="A826" s="4"/>
      <c r="B826" s="4"/>
      <c r="C826" s="4"/>
      <c r="D826" s="4"/>
      <c r="E826" s="4"/>
      <c r="F826" s="4"/>
    </row>
    <row r="827" ht="14.25" customHeight="1">
      <c r="A827" s="4"/>
      <c r="B827" s="4"/>
      <c r="C827" s="4"/>
      <c r="D827" s="4"/>
      <c r="E827" s="4"/>
      <c r="F827" s="4"/>
    </row>
    <row r="828" ht="14.25" customHeight="1">
      <c r="A828" s="4"/>
      <c r="B828" s="4"/>
      <c r="C828" s="4"/>
      <c r="D828" s="4"/>
      <c r="E828" s="4"/>
      <c r="F828" s="4"/>
    </row>
    <row r="829" ht="14.25" customHeight="1">
      <c r="A829" s="4"/>
      <c r="B829" s="4"/>
      <c r="C829" s="4"/>
      <c r="D829" s="4"/>
      <c r="E829" s="4"/>
      <c r="F829" s="4"/>
    </row>
    <row r="830" ht="14.25" customHeight="1">
      <c r="A830" s="4"/>
      <c r="B830" s="4"/>
      <c r="C830" s="4"/>
      <c r="D830" s="4"/>
      <c r="E830" s="4"/>
      <c r="F830" s="4"/>
    </row>
    <row r="831" ht="14.25" customHeight="1">
      <c r="A831" s="4"/>
      <c r="B831" s="4"/>
      <c r="C831" s="4"/>
      <c r="D831" s="4"/>
      <c r="E831" s="4"/>
      <c r="F831" s="4"/>
    </row>
    <row r="832" ht="14.25" customHeight="1">
      <c r="A832" s="4"/>
      <c r="B832" s="4"/>
      <c r="C832" s="4"/>
      <c r="D832" s="4"/>
      <c r="E832" s="4"/>
      <c r="F832" s="4"/>
    </row>
    <row r="833" ht="14.25" customHeight="1">
      <c r="A833" s="4"/>
      <c r="B833" s="4"/>
      <c r="C833" s="4"/>
      <c r="D833" s="4"/>
      <c r="E833" s="4"/>
      <c r="F833" s="4"/>
    </row>
    <row r="834" ht="14.25" customHeight="1">
      <c r="A834" s="4"/>
      <c r="B834" s="4"/>
      <c r="C834" s="4"/>
      <c r="D834" s="4"/>
      <c r="E834" s="4"/>
      <c r="F834" s="4"/>
    </row>
    <row r="835" ht="14.25" customHeight="1">
      <c r="A835" s="4"/>
      <c r="B835" s="4"/>
      <c r="C835" s="4"/>
      <c r="D835" s="4"/>
      <c r="E835" s="4"/>
      <c r="F835" s="4"/>
    </row>
    <row r="836" ht="14.25" customHeight="1">
      <c r="A836" s="4"/>
      <c r="B836" s="4"/>
      <c r="C836" s="4"/>
      <c r="D836" s="4"/>
      <c r="E836" s="4"/>
      <c r="F836" s="4"/>
    </row>
    <row r="837" ht="14.25" customHeight="1">
      <c r="A837" s="4"/>
      <c r="B837" s="4"/>
      <c r="C837" s="4"/>
      <c r="D837" s="4"/>
      <c r="E837" s="4"/>
      <c r="F837" s="4"/>
    </row>
    <row r="838" ht="14.25" customHeight="1">
      <c r="A838" s="4"/>
      <c r="B838" s="4"/>
      <c r="C838" s="4"/>
      <c r="D838" s="4"/>
      <c r="E838" s="4"/>
      <c r="F838" s="4"/>
    </row>
    <row r="839" ht="14.25" customHeight="1">
      <c r="A839" s="4"/>
      <c r="B839" s="4"/>
      <c r="C839" s="4"/>
      <c r="D839" s="4"/>
      <c r="E839" s="4"/>
      <c r="F839" s="4"/>
    </row>
    <row r="840" ht="14.25" customHeight="1">
      <c r="A840" s="4"/>
      <c r="B840" s="4"/>
      <c r="C840" s="4"/>
      <c r="D840" s="4"/>
      <c r="E840" s="4"/>
      <c r="F840" s="4"/>
    </row>
    <row r="841" ht="14.25" customHeight="1">
      <c r="A841" s="4"/>
      <c r="B841" s="4"/>
      <c r="C841" s="4"/>
      <c r="D841" s="4"/>
      <c r="E841" s="4"/>
      <c r="F841" s="4"/>
    </row>
    <row r="842" ht="14.25" customHeight="1">
      <c r="A842" s="4"/>
      <c r="B842" s="4"/>
      <c r="C842" s="4"/>
      <c r="D842" s="4"/>
      <c r="E842" s="4"/>
      <c r="F842" s="4"/>
    </row>
    <row r="843" ht="14.25" customHeight="1">
      <c r="A843" s="4"/>
      <c r="B843" s="4"/>
      <c r="C843" s="4"/>
      <c r="D843" s="4"/>
      <c r="E843" s="4"/>
      <c r="F843" s="4"/>
    </row>
    <row r="844" ht="14.25" customHeight="1">
      <c r="A844" s="4"/>
      <c r="B844" s="4"/>
      <c r="C844" s="4"/>
      <c r="D844" s="4"/>
      <c r="E844" s="4"/>
      <c r="F844" s="4"/>
    </row>
    <row r="845" ht="14.25" customHeight="1">
      <c r="A845" s="4"/>
      <c r="B845" s="4"/>
      <c r="C845" s="4"/>
      <c r="D845" s="4"/>
      <c r="E845" s="4"/>
      <c r="F845" s="4"/>
    </row>
    <row r="846" ht="14.25" customHeight="1">
      <c r="A846" s="4"/>
      <c r="B846" s="4"/>
      <c r="C846" s="4"/>
      <c r="D846" s="4"/>
      <c r="E846" s="4"/>
      <c r="F846" s="4"/>
    </row>
    <row r="847" ht="14.25" customHeight="1">
      <c r="A847" s="4"/>
      <c r="B847" s="4"/>
      <c r="C847" s="4"/>
      <c r="D847" s="4"/>
      <c r="E847" s="4"/>
      <c r="F847" s="4"/>
    </row>
    <row r="848" ht="14.25" customHeight="1">
      <c r="A848" s="4"/>
      <c r="B848" s="4"/>
      <c r="C848" s="4"/>
      <c r="D848" s="4"/>
      <c r="E848" s="4"/>
      <c r="F848" s="4"/>
    </row>
    <row r="849" ht="14.25" customHeight="1">
      <c r="A849" s="4"/>
      <c r="B849" s="4"/>
      <c r="C849" s="4"/>
      <c r="D849" s="4"/>
      <c r="E849" s="4"/>
      <c r="F849" s="4"/>
    </row>
    <row r="850" ht="14.25" customHeight="1">
      <c r="A850" s="4"/>
      <c r="B850" s="4"/>
      <c r="C850" s="4"/>
      <c r="D850" s="4"/>
      <c r="E850" s="4"/>
      <c r="F850" s="4"/>
    </row>
    <row r="851" ht="14.25" customHeight="1">
      <c r="A851" s="4"/>
      <c r="B851" s="4"/>
      <c r="C851" s="4"/>
      <c r="D851" s="4"/>
      <c r="E851" s="4"/>
      <c r="F851" s="4"/>
    </row>
    <row r="852" ht="14.25" customHeight="1">
      <c r="A852" s="4"/>
      <c r="B852" s="4"/>
      <c r="C852" s="4"/>
      <c r="D852" s="4"/>
      <c r="E852" s="4"/>
      <c r="F852" s="4"/>
    </row>
    <row r="853" ht="14.25" customHeight="1">
      <c r="A853" s="4"/>
      <c r="B853" s="4"/>
      <c r="C853" s="4"/>
      <c r="D853" s="4"/>
      <c r="E853" s="4"/>
      <c r="F853" s="4"/>
    </row>
    <row r="854" ht="14.25" customHeight="1">
      <c r="A854" s="4"/>
      <c r="B854" s="4"/>
      <c r="C854" s="4"/>
      <c r="D854" s="4"/>
      <c r="E854" s="4"/>
      <c r="F854" s="4"/>
    </row>
    <row r="855" ht="14.25" customHeight="1">
      <c r="A855" s="4"/>
      <c r="B855" s="4"/>
      <c r="C855" s="4"/>
      <c r="D855" s="4"/>
      <c r="E855" s="4"/>
      <c r="F855" s="4"/>
    </row>
    <row r="856" ht="14.25" customHeight="1">
      <c r="A856" s="4"/>
      <c r="B856" s="4"/>
      <c r="C856" s="4"/>
      <c r="D856" s="4"/>
      <c r="E856" s="4"/>
      <c r="F856" s="4"/>
    </row>
    <row r="857" ht="14.25" customHeight="1">
      <c r="A857" s="4"/>
      <c r="B857" s="4"/>
      <c r="C857" s="4"/>
      <c r="D857" s="4"/>
      <c r="E857" s="4"/>
      <c r="F857" s="4"/>
    </row>
    <row r="858" ht="14.25" customHeight="1">
      <c r="A858" s="4"/>
      <c r="B858" s="4"/>
      <c r="C858" s="4"/>
      <c r="D858" s="4"/>
      <c r="E858" s="4"/>
      <c r="F858" s="4"/>
    </row>
    <row r="859" ht="14.25" customHeight="1">
      <c r="A859" s="4"/>
      <c r="B859" s="4"/>
      <c r="C859" s="4"/>
      <c r="D859" s="4"/>
      <c r="E859" s="4"/>
      <c r="F859" s="4"/>
    </row>
    <row r="860" ht="14.25" customHeight="1">
      <c r="A860" s="4"/>
      <c r="B860" s="4"/>
      <c r="C860" s="4"/>
      <c r="D860" s="4"/>
      <c r="E860" s="4"/>
      <c r="F860" s="4"/>
    </row>
    <row r="861" ht="14.25" customHeight="1">
      <c r="A861" s="4"/>
      <c r="B861" s="4"/>
      <c r="C861" s="4"/>
      <c r="D861" s="4"/>
      <c r="E861" s="4"/>
      <c r="F861" s="4"/>
    </row>
    <row r="862" ht="14.25" customHeight="1">
      <c r="A862" s="4"/>
      <c r="B862" s="4"/>
      <c r="C862" s="4"/>
      <c r="D862" s="4"/>
      <c r="E862" s="4"/>
      <c r="F862" s="4"/>
    </row>
    <row r="863" ht="14.25" customHeight="1">
      <c r="A863" s="4"/>
      <c r="B863" s="4"/>
      <c r="C863" s="4"/>
      <c r="D863" s="4"/>
      <c r="E863" s="4"/>
      <c r="F863" s="4"/>
    </row>
    <row r="864" ht="14.25" customHeight="1">
      <c r="A864" s="4"/>
      <c r="B864" s="4"/>
      <c r="C864" s="4"/>
      <c r="D864" s="4"/>
      <c r="E864" s="4"/>
      <c r="F864" s="4"/>
    </row>
    <row r="865" ht="14.25" customHeight="1">
      <c r="A865" s="4"/>
      <c r="B865" s="4"/>
      <c r="C865" s="4"/>
      <c r="D865" s="4"/>
      <c r="E865" s="4"/>
      <c r="F865" s="4"/>
    </row>
    <row r="866" ht="14.25" customHeight="1">
      <c r="A866" s="4"/>
      <c r="B866" s="4"/>
      <c r="C866" s="4"/>
      <c r="D866" s="4"/>
      <c r="E866" s="4"/>
      <c r="F866" s="4"/>
    </row>
    <row r="867" ht="14.25" customHeight="1">
      <c r="A867" s="4"/>
      <c r="B867" s="4"/>
      <c r="C867" s="4"/>
      <c r="D867" s="4"/>
      <c r="E867" s="4"/>
      <c r="F867" s="4"/>
    </row>
    <row r="868" ht="14.25" customHeight="1">
      <c r="A868" s="4"/>
      <c r="B868" s="4"/>
      <c r="C868" s="4"/>
      <c r="D868" s="4"/>
      <c r="E868" s="4"/>
      <c r="F868" s="4"/>
    </row>
    <row r="869" ht="14.25" customHeight="1">
      <c r="A869" s="4"/>
      <c r="B869" s="4"/>
      <c r="C869" s="4"/>
      <c r="D869" s="4"/>
      <c r="E869" s="4"/>
      <c r="F869" s="4"/>
    </row>
    <row r="870" ht="14.25" customHeight="1">
      <c r="A870" s="4"/>
      <c r="B870" s="4"/>
      <c r="C870" s="4"/>
      <c r="D870" s="4"/>
      <c r="E870" s="4"/>
      <c r="F870" s="4"/>
    </row>
    <row r="871" ht="14.25" customHeight="1">
      <c r="A871" s="4"/>
      <c r="B871" s="4"/>
      <c r="C871" s="4"/>
      <c r="D871" s="4"/>
      <c r="E871" s="4"/>
      <c r="F871" s="4"/>
    </row>
    <row r="872" ht="14.25" customHeight="1">
      <c r="A872" s="4"/>
      <c r="B872" s="4"/>
      <c r="C872" s="4"/>
      <c r="D872" s="4"/>
      <c r="E872" s="4"/>
      <c r="F872" s="4"/>
    </row>
    <row r="873" ht="14.25" customHeight="1">
      <c r="A873" s="4"/>
      <c r="B873" s="4"/>
      <c r="C873" s="4"/>
      <c r="D873" s="4"/>
      <c r="E873" s="4"/>
      <c r="F873" s="4"/>
    </row>
    <row r="874" ht="14.25" customHeight="1">
      <c r="A874" s="4"/>
      <c r="B874" s="4"/>
      <c r="C874" s="4"/>
      <c r="D874" s="4"/>
      <c r="E874" s="4"/>
      <c r="F874" s="4"/>
    </row>
    <row r="875" ht="14.25" customHeight="1">
      <c r="A875" s="4"/>
      <c r="B875" s="4"/>
      <c r="C875" s="4"/>
      <c r="D875" s="4"/>
      <c r="E875" s="4"/>
      <c r="F875" s="4"/>
    </row>
    <row r="876" ht="14.25" customHeight="1">
      <c r="A876" s="4"/>
      <c r="B876" s="4"/>
      <c r="C876" s="4"/>
      <c r="D876" s="4"/>
      <c r="E876" s="4"/>
      <c r="F876" s="4"/>
    </row>
    <row r="877" ht="14.25" customHeight="1">
      <c r="A877" s="4"/>
      <c r="B877" s="4"/>
      <c r="C877" s="4"/>
      <c r="D877" s="4"/>
      <c r="E877" s="4"/>
      <c r="F877" s="4"/>
    </row>
    <row r="878" ht="14.25" customHeight="1">
      <c r="A878" s="4"/>
      <c r="B878" s="4"/>
      <c r="C878" s="4"/>
      <c r="D878" s="4"/>
      <c r="E878" s="4"/>
      <c r="F878" s="4"/>
    </row>
    <row r="879" ht="14.25" customHeight="1">
      <c r="A879" s="4"/>
      <c r="B879" s="4"/>
      <c r="C879" s="4"/>
      <c r="D879" s="4"/>
      <c r="E879" s="4"/>
      <c r="F879" s="4"/>
    </row>
    <row r="880" ht="14.25" customHeight="1">
      <c r="A880" s="4"/>
      <c r="B880" s="4"/>
      <c r="C880" s="4"/>
      <c r="D880" s="4"/>
      <c r="E880" s="4"/>
      <c r="F880" s="4"/>
    </row>
    <row r="881" ht="14.25" customHeight="1">
      <c r="A881" s="4"/>
      <c r="B881" s="4"/>
      <c r="C881" s="4"/>
      <c r="D881" s="4"/>
      <c r="E881" s="4"/>
      <c r="F881" s="4"/>
    </row>
    <row r="882" ht="14.25" customHeight="1">
      <c r="A882" s="4"/>
      <c r="B882" s="4"/>
      <c r="C882" s="4"/>
      <c r="D882" s="4"/>
      <c r="E882" s="4"/>
      <c r="F882" s="4"/>
    </row>
    <row r="883" ht="14.25" customHeight="1">
      <c r="A883" s="4"/>
      <c r="B883" s="4"/>
      <c r="C883" s="4"/>
      <c r="D883" s="4"/>
      <c r="E883" s="4"/>
      <c r="F883" s="4"/>
    </row>
    <row r="884" ht="14.25" customHeight="1">
      <c r="A884" s="4"/>
      <c r="B884" s="4"/>
      <c r="C884" s="4"/>
      <c r="D884" s="4"/>
      <c r="E884" s="4"/>
      <c r="F884" s="4"/>
    </row>
    <row r="885" ht="14.25" customHeight="1">
      <c r="A885" s="4"/>
      <c r="B885" s="4"/>
      <c r="C885" s="4"/>
      <c r="D885" s="4"/>
      <c r="E885" s="4"/>
      <c r="F885" s="4"/>
    </row>
    <row r="886" ht="14.25" customHeight="1">
      <c r="A886" s="4"/>
      <c r="B886" s="4"/>
      <c r="C886" s="4"/>
      <c r="D886" s="4"/>
      <c r="E886" s="4"/>
      <c r="F886" s="4"/>
    </row>
    <row r="887" ht="14.25" customHeight="1">
      <c r="A887" s="4"/>
      <c r="B887" s="4"/>
      <c r="C887" s="4"/>
      <c r="D887" s="4"/>
      <c r="E887" s="4"/>
      <c r="F887" s="4"/>
    </row>
    <row r="888" ht="14.25" customHeight="1">
      <c r="A888" s="4"/>
      <c r="B888" s="4"/>
      <c r="C888" s="4"/>
      <c r="D888" s="4"/>
      <c r="E888" s="4"/>
      <c r="F888" s="4"/>
    </row>
    <row r="889" ht="14.25" customHeight="1">
      <c r="A889" s="4"/>
      <c r="B889" s="4"/>
      <c r="C889" s="4"/>
      <c r="D889" s="4"/>
      <c r="E889" s="4"/>
      <c r="F889" s="4"/>
    </row>
    <row r="890" ht="14.25" customHeight="1">
      <c r="A890" s="4"/>
      <c r="B890" s="4"/>
      <c r="C890" s="4"/>
      <c r="D890" s="4"/>
      <c r="E890" s="4"/>
      <c r="F890" s="4"/>
    </row>
    <row r="891" ht="14.25" customHeight="1">
      <c r="A891" s="4"/>
      <c r="B891" s="4"/>
      <c r="C891" s="4"/>
      <c r="D891" s="4"/>
      <c r="E891" s="4"/>
      <c r="F891" s="4"/>
    </row>
    <row r="892" ht="14.25" customHeight="1">
      <c r="A892" s="4"/>
      <c r="B892" s="4"/>
      <c r="C892" s="4"/>
      <c r="D892" s="4"/>
      <c r="E892" s="4"/>
      <c r="F892" s="4"/>
    </row>
    <row r="893" ht="14.25" customHeight="1">
      <c r="A893" s="4"/>
      <c r="B893" s="4"/>
      <c r="C893" s="4"/>
      <c r="D893" s="4"/>
      <c r="E893" s="4"/>
      <c r="F893" s="4"/>
    </row>
    <row r="894" ht="14.25" customHeight="1">
      <c r="A894" s="4"/>
      <c r="B894" s="4"/>
      <c r="C894" s="4"/>
      <c r="D894" s="4"/>
      <c r="E894" s="4"/>
      <c r="F894" s="4"/>
    </row>
    <row r="895" ht="14.25" customHeight="1">
      <c r="A895" s="4"/>
      <c r="B895" s="4"/>
      <c r="C895" s="4"/>
      <c r="D895" s="4"/>
      <c r="E895" s="4"/>
      <c r="F895" s="4"/>
    </row>
    <row r="896" ht="14.25" customHeight="1">
      <c r="A896" s="4"/>
      <c r="B896" s="4"/>
      <c r="C896" s="4"/>
      <c r="D896" s="4"/>
      <c r="E896" s="4"/>
      <c r="F896" s="4"/>
    </row>
    <row r="897" ht="14.25" customHeight="1">
      <c r="A897" s="4"/>
      <c r="B897" s="4"/>
      <c r="C897" s="4"/>
      <c r="D897" s="4"/>
      <c r="E897" s="4"/>
      <c r="F897" s="4"/>
    </row>
    <row r="898" ht="14.25" customHeight="1">
      <c r="A898" s="4"/>
      <c r="B898" s="4"/>
      <c r="C898" s="4"/>
      <c r="D898" s="4"/>
      <c r="E898" s="4"/>
      <c r="F898" s="4"/>
    </row>
    <row r="899" ht="14.25" customHeight="1">
      <c r="A899" s="4"/>
      <c r="B899" s="4"/>
      <c r="C899" s="4"/>
      <c r="D899" s="4"/>
      <c r="E899" s="4"/>
      <c r="F899" s="4"/>
    </row>
    <row r="900" ht="14.25" customHeight="1">
      <c r="A900" s="4"/>
      <c r="B900" s="4"/>
      <c r="C900" s="4"/>
      <c r="D900" s="4"/>
      <c r="E900" s="4"/>
      <c r="F900" s="4"/>
    </row>
    <row r="901" ht="14.25" customHeight="1">
      <c r="A901" s="4"/>
      <c r="B901" s="4"/>
      <c r="C901" s="4"/>
      <c r="D901" s="4"/>
      <c r="E901" s="4"/>
      <c r="F901" s="4"/>
    </row>
    <row r="902" ht="14.25" customHeight="1">
      <c r="A902" s="4"/>
      <c r="B902" s="4"/>
      <c r="C902" s="4"/>
      <c r="D902" s="4"/>
      <c r="E902" s="4"/>
      <c r="F902" s="4"/>
    </row>
    <row r="903" ht="14.25" customHeight="1">
      <c r="A903" s="4"/>
      <c r="B903" s="4"/>
      <c r="C903" s="4"/>
      <c r="D903" s="4"/>
      <c r="E903" s="4"/>
      <c r="F903" s="4"/>
    </row>
    <row r="904" ht="14.25" customHeight="1">
      <c r="A904" s="4"/>
      <c r="B904" s="4"/>
      <c r="C904" s="4"/>
      <c r="D904" s="4"/>
      <c r="E904" s="4"/>
      <c r="F904" s="4"/>
    </row>
    <row r="905" ht="14.25" customHeight="1">
      <c r="A905" s="4"/>
      <c r="B905" s="4"/>
      <c r="C905" s="4"/>
      <c r="D905" s="4"/>
      <c r="E905" s="4"/>
      <c r="F905" s="4"/>
    </row>
    <row r="906" ht="14.25" customHeight="1">
      <c r="A906" s="4"/>
      <c r="B906" s="4"/>
      <c r="C906" s="4"/>
      <c r="D906" s="4"/>
      <c r="E906" s="4"/>
      <c r="F906" s="4"/>
    </row>
    <row r="907" ht="14.25" customHeight="1">
      <c r="A907" s="4"/>
      <c r="B907" s="4"/>
      <c r="C907" s="4"/>
      <c r="D907" s="4"/>
      <c r="E907" s="4"/>
      <c r="F907" s="4"/>
    </row>
    <row r="908" ht="14.25" customHeight="1">
      <c r="A908" s="4"/>
      <c r="B908" s="4"/>
      <c r="C908" s="4"/>
      <c r="D908" s="4"/>
      <c r="E908" s="4"/>
      <c r="F908" s="4"/>
    </row>
    <row r="909" ht="14.25" customHeight="1">
      <c r="A909" s="4"/>
      <c r="B909" s="4"/>
      <c r="C909" s="4"/>
      <c r="D909" s="4"/>
      <c r="E909" s="4"/>
      <c r="F909" s="4"/>
    </row>
    <row r="910" ht="14.25" customHeight="1">
      <c r="A910" s="4"/>
      <c r="B910" s="4"/>
      <c r="C910" s="4"/>
      <c r="D910" s="4"/>
      <c r="E910" s="4"/>
      <c r="F910" s="4"/>
    </row>
    <row r="911" ht="14.25" customHeight="1">
      <c r="A911" s="4"/>
      <c r="B911" s="4"/>
      <c r="C911" s="4"/>
      <c r="D911" s="4"/>
      <c r="E911" s="4"/>
      <c r="F911" s="4"/>
    </row>
    <row r="912" ht="14.25" customHeight="1">
      <c r="A912" s="4"/>
      <c r="B912" s="4"/>
      <c r="C912" s="4"/>
      <c r="D912" s="4"/>
      <c r="E912" s="4"/>
      <c r="F912" s="4"/>
    </row>
    <row r="913" ht="14.25" customHeight="1">
      <c r="A913" s="4"/>
      <c r="B913" s="4"/>
      <c r="C913" s="4"/>
      <c r="D913" s="4"/>
      <c r="E913" s="4"/>
      <c r="F913" s="4"/>
    </row>
    <row r="914" ht="14.25" customHeight="1">
      <c r="A914" s="4"/>
      <c r="B914" s="4"/>
      <c r="C914" s="4"/>
      <c r="D914" s="4"/>
      <c r="E914" s="4"/>
      <c r="F914" s="4"/>
    </row>
    <row r="915" ht="14.25" customHeight="1">
      <c r="A915" s="4"/>
      <c r="B915" s="4"/>
      <c r="C915" s="4"/>
      <c r="D915" s="4"/>
      <c r="E915" s="4"/>
      <c r="F915" s="4"/>
    </row>
    <row r="916" ht="14.25" customHeight="1">
      <c r="A916" s="4"/>
      <c r="B916" s="4"/>
      <c r="C916" s="4"/>
      <c r="D916" s="4"/>
      <c r="E916" s="4"/>
      <c r="F916" s="4"/>
    </row>
    <row r="917" ht="14.25" customHeight="1">
      <c r="A917" s="4"/>
      <c r="B917" s="4"/>
      <c r="C917" s="4"/>
      <c r="D917" s="4"/>
      <c r="E917" s="4"/>
      <c r="F917" s="4"/>
    </row>
    <row r="918" ht="14.25" customHeight="1">
      <c r="A918" s="4"/>
      <c r="B918" s="4"/>
      <c r="C918" s="4"/>
      <c r="D918" s="4"/>
      <c r="E918" s="4"/>
      <c r="F918" s="4"/>
    </row>
    <row r="919" ht="14.25" customHeight="1">
      <c r="A919" s="4"/>
      <c r="B919" s="4"/>
      <c r="C919" s="4"/>
      <c r="D919" s="4"/>
      <c r="E919" s="4"/>
      <c r="F919" s="4"/>
    </row>
    <row r="920" ht="14.25" customHeight="1">
      <c r="A920" s="4"/>
      <c r="B920" s="4"/>
      <c r="C920" s="4"/>
      <c r="D920" s="4"/>
      <c r="E920" s="4"/>
      <c r="F920" s="4"/>
    </row>
    <row r="921" ht="14.25" customHeight="1">
      <c r="A921" s="4"/>
      <c r="B921" s="4"/>
      <c r="C921" s="4"/>
      <c r="D921" s="4"/>
      <c r="E921" s="4"/>
      <c r="F921" s="4"/>
    </row>
    <row r="922" ht="14.25" customHeight="1">
      <c r="A922" s="4"/>
      <c r="B922" s="4"/>
      <c r="C922" s="4"/>
      <c r="D922" s="4"/>
      <c r="E922" s="4"/>
      <c r="F922" s="4"/>
    </row>
    <row r="923" ht="14.25" customHeight="1">
      <c r="A923" s="4"/>
      <c r="B923" s="4"/>
      <c r="C923" s="4"/>
      <c r="D923" s="4"/>
      <c r="E923" s="4"/>
      <c r="F923" s="4"/>
    </row>
    <row r="924" ht="14.25" customHeight="1">
      <c r="A924" s="4"/>
      <c r="B924" s="4"/>
      <c r="C924" s="4"/>
      <c r="D924" s="4"/>
      <c r="E924" s="4"/>
      <c r="F924" s="4"/>
    </row>
    <row r="925" ht="14.25" customHeight="1">
      <c r="A925" s="4"/>
      <c r="B925" s="4"/>
      <c r="C925" s="4"/>
      <c r="D925" s="4"/>
      <c r="E925" s="4"/>
      <c r="F925" s="4"/>
    </row>
    <row r="926" ht="14.25" customHeight="1">
      <c r="A926" s="4"/>
      <c r="B926" s="4"/>
      <c r="C926" s="4"/>
      <c r="D926" s="4"/>
      <c r="E926" s="4"/>
      <c r="F926" s="4"/>
    </row>
    <row r="927" ht="14.25" customHeight="1">
      <c r="A927" s="4"/>
      <c r="B927" s="4"/>
      <c r="C927" s="4"/>
      <c r="D927" s="4"/>
      <c r="E927" s="4"/>
      <c r="F927" s="4"/>
    </row>
    <row r="928" ht="14.25" customHeight="1">
      <c r="A928" s="4"/>
      <c r="B928" s="4"/>
      <c r="C928" s="4"/>
      <c r="D928" s="4"/>
      <c r="E928" s="4"/>
      <c r="F928" s="4"/>
    </row>
    <row r="929" ht="14.25" customHeight="1">
      <c r="A929" s="4"/>
      <c r="B929" s="4"/>
      <c r="C929" s="4"/>
      <c r="D929" s="4"/>
      <c r="E929" s="4"/>
      <c r="F929" s="4"/>
    </row>
    <row r="930" ht="14.25" customHeight="1">
      <c r="A930" s="4"/>
      <c r="B930" s="4"/>
      <c r="C930" s="4"/>
      <c r="D930" s="4"/>
      <c r="E930" s="4"/>
      <c r="F930" s="4"/>
    </row>
    <row r="931" ht="14.25" customHeight="1">
      <c r="A931" s="4"/>
      <c r="B931" s="4"/>
      <c r="C931" s="4"/>
      <c r="D931" s="4"/>
      <c r="E931" s="4"/>
      <c r="F931" s="4"/>
    </row>
    <row r="932" ht="14.25" customHeight="1">
      <c r="A932" s="4"/>
      <c r="B932" s="4"/>
      <c r="C932" s="4"/>
      <c r="D932" s="4"/>
      <c r="E932" s="4"/>
      <c r="F932" s="4"/>
    </row>
    <row r="933" ht="14.25" customHeight="1">
      <c r="A933" s="4"/>
      <c r="B933" s="4"/>
      <c r="C933" s="4"/>
      <c r="D933" s="4"/>
      <c r="E933" s="4"/>
      <c r="F933" s="4"/>
    </row>
    <row r="934" ht="14.25" customHeight="1">
      <c r="A934" s="4"/>
      <c r="B934" s="4"/>
      <c r="C934" s="4"/>
      <c r="D934" s="4"/>
      <c r="E934" s="4"/>
      <c r="F934" s="4"/>
    </row>
    <row r="935" ht="14.25" customHeight="1">
      <c r="A935" s="4"/>
      <c r="B935" s="4"/>
      <c r="C935" s="4"/>
      <c r="D935" s="4"/>
      <c r="E935" s="4"/>
      <c r="F935" s="4"/>
    </row>
    <row r="936" ht="14.25" customHeight="1">
      <c r="A936" s="4"/>
      <c r="B936" s="4"/>
      <c r="C936" s="4"/>
      <c r="D936" s="4"/>
      <c r="E936" s="4"/>
      <c r="F936" s="4"/>
    </row>
    <row r="937" ht="14.25" customHeight="1">
      <c r="A937" s="4"/>
      <c r="B937" s="4"/>
      <c r="C937" s="4"/>
      <c r="D937" s="4"/>
      <c r="E937" s="4"/>
      <c r="F937" s="4"/>
    </row>
    <row r="938" ht="14.25" customHeight="1">
      <c r="A938" s="4"/>
      <c r="B938" s="4"/>
      <c r="C938" s="4"/>
      <c r="D938" s="4"/>
      <c r="E938" s="4"/>
      <c r="F938" s="4"/>
    </row>
    <row r="939" ht="14.25" customHeight="1">
      <c r="A939" s="4"/>
      <c r="B939" s="4"/>
      <c r="C939" s="4"/>
      <c r="D939" s="4"/>
      <c r="E939" s="4"/>
      <c r="F939" s="4"/>
    </row>
    <row r="940" ht="14.25" customHeight="1">
      <c r="A940" s="4"/>
      <c r="B940" s="4"/>
      <c r="C940" s="4"/>
      <c r="D940" s="4"/>
      <c r="E940" s="4"/>
      <c r="F940" s="4"/>
    </row>
    <row r="941" ht="14.25" customHeight="1">
      <c r="A941" s="4"/>
      <c r="B941" s="4"/>
      <c r="C941" s="4"/>
      <c r="D941" s="4"/>
      <c r="E941" s="4"/>
      <c r="F941" s="4"/>
    </row>
    <row r="942" ht="14.25" customHeight="1">
      <c r="A942" s="4"/>
      <c r="B942" s="4"/>
      <c r="C942" s="4"/>
      <c r="D942" s="4"/>
      <c r="E942" s="4"/>
      <c r="F942" s="4"/>
    </row>
    <row r="943" ht="14.25" customHeight="1">
      <c r="A943" s="4"/>
      <c r="B943" s="4"/>
      <c r="C943" s="4"/>
      <c r="D943" s="4"/>
      <c r="E943" s="4"/>
      <c r="F943" s="4"/>
    </row>
    <row r="944" ht="14.25" customHeight="1">
      <c r="A944" s="4"/>
      <c r="B944" s="4"/>
      <c r="C944" s="4"/>
      <c r="D944" s="4"/>
      <c r="E944" s="4"/>
      <c r="F944" s="4"/>
    </row>
    <row r="945" ht="14.25" customHeight="1">
      <c r="A945" s="4"/>
      <c r="B945" s="4"/>
      <c r="C945" s="4"/>
      <c r="D945" s="4"/>
      <c r="E945" s="4"/>
      <c r="F945" s="4"/>
    </row>
    <row r="946" ht="14.25" customHeight="1">
      <c r="A946" s="4"/>
      <c r="B946" s="4"/>
      <c r="C946" s="4"/>
      <c r="D946" s="4"/>
      <c r="E946" s="4"/>
      <c r="F946" s="4"/>
    </row>
    <row r="947" ht="14.25" customHeight="1">
      <c r="A947" s="4"/>
      <c r="B947" s="4"/>
      <c r="C947" s="4"/>
      <c r="D947" s="4"/>
      <c r="E947" s="4"/>
      <c r="F947" s="4"/>
    </row>
    <row r="948" ht="14.25" customHeight="1">
      <c r="A948" s="4"/>
      <c r="B948" s="4"/>
      <c r="C948" s="4"/>
      <c r="D948" s="4"/>
      <c r="E948" s="4"/>
      <c r="F948" s="4"/>
    </row>
    <row r="949" ht="14.25" customHeight="1">
      <c r="A949" s="4"/>
      <c r="B949" s="4"/>
      <c r="C949" s="4"/>
      <c r="D949" s="4"/>
      <c r="E949" s="4"/>
      <c r="F949" s="4"/>
    </row>
    <row r="950" ht="14.25" customHeight="1">
      <c r="A950" s="4"/>
      <c r="B950" s="4"/>
      <c r="C950" s="4"/>
      <c r="D950" s="4"/>
      <c r="E950" s="4"/>
      <c r="F950" s="4"/>
    </row>
    <row r="951" ht="14.25" customHeight="1">
      <c r="A951" s="4"/>
      <c r="B951" s="4"/>
      <c r="C951" s="4"/>
      <c r="D951" s="4"/>
      <c r="E951" s="4"/>
      <c r="F951" s="4"/>
    </row>
    <row r="952" ht="14.25" customHeight="1">
      <c r="A952" s="4"/>
      <c r="B952" s="4"/>
      <c r="C952" s="4"/>
      <c r="D952" s="4"/>
      <c r="E952" s="4"/>
      <c r="F952" s="4"/>
    </row>
    <row r="953" ht="14.25" customHeight="1">
      <c r="A953" s="4"/>
      <c r="B953" s="4"/>
      <c r="C953" s="4"/>
      <c r="D953" s="4"/>
      <c r="E953" s="4"/>
      <c r="F953" s="4"/>
    </row>
    <row r="954" ht="14.25" customHeight="1">
      <c r="A954" s="4"/>
      <c r="B954" s="4"/>
      <c r="C954" s="4"/>
      <c r="D954" s="4"/>
      <c r="E954" s="4"/>
      <c r="F954" s="4"/>
    </row>
    <row r="955" ht="14.25" customHeight="1">
      <c r="A955" s="4"/>
      <c r="B955" s="4"/>
      <c r="C955" s="4"/>
      <c r="D955" s="4"/>
      <c r="E955" s="4"/>
      <c r="F955" s="4"/>
    </row>
    <row r="956" ht="14.25" customHeight="1">
      <c r="A956" s="4"/>
      <c r="B956" s="4"/>
      <c r="C956" s="4"/>
      <c r="D956" s="4"/>
      <c r="E956" s="4"/>
      <c r="F956" s="4"/>
    </row>
    <row r="957" ht="14.25" customHeight="1">
      <c r="A957" s="4"/>
      <c r="B957" s="4"/>
      <c r="C957" s="4"/>
      <c r="D957" s="4"/>
      <c r="E957" s="4"/>
      <c r="F957" s="4"/>
    </row>
    <row r="958" ht="14.25" customHeight="1">
      <c r="A958" s="4"/>
      <c r="B958" s="4"/>
      <c r="C958" s="4"/>
      <c r="D958" s="4"/>
      <c r="E958" s="4"/>
      <c r="F958" s="4"/>
    </row>
    <row r="959" ht="14.25" customHeight="1">
      <c r="A959" s="4"/>
      <c r="B959" s="4"/>
      <c r="C959" s="4"/>
      <c r="D959" s="4"/>
      <c r="E959" s="4"/>
      <c r="F959" s="4"/>
    </row>
    <row r="960" ht="14.25" customHeight="1">
      <c r="A960" s="4"/>
      <c r="B960" s="4"/>
      <c r="C960" s="4"/>
      <c r="D960" s="4"/>
      <c r="E960" s="4"/>
      <c r="F960" s="4"/>
    </row>
    <row r="961" ht="14.25" customHeight="1">
      <c r="A961" s="4"/>
      <c r="B961" s="4"/>
      <c r="C961" s="4"/>
      <c r="D961" s="4"/>
      <c r="E961" s="4"/>
      <c r="F961" s="4"/>
    </row>
    <row r="962" ht="14.25" customHeight="1">
      <c r="A962" s="4"/>
      <c r="B962" s="4"/>
      <c r="C962" s="4"/>
      <c r="D962" s="4"/>
      <c r="E962" s="4"/>
      <c r="F962" s="4"/>
    </row>
    <row r="963" ht="14.25" customHeight="1">
      <c r="A963" s="4"/>
      <c r="B963" s="4"/>
      <c r="C963" s="4"/>
      <c r="D963" s="4"/>
      <c r="E963" s="4"/>
      <c r="F963" s="4"/>
    </row>
    <row r="964" ht="14.25" customHeight="1">
      <c r="A964" s="4"/>
      <c r="B964" s="4"/>
      <c r="C964" s="4"/>
      <c r="D964" s="4"/>
      <c r="E964" s="4"/>
      <c r="F964" s="4"/>
    </row>
    <row r="965" ht="14.25" customHeight="1">
      <c r="A965" s="4"/>
      <c r="B965" s="4"/>
      <c r="C965" s="4"/>
      <c r="D965" s="4"/>
      <c r="E965" s="4"/>
      <c r="F965" s="4"/>
    </row>
    <row r="966" ht="14.25" customHeight="1">
      <c r="A966" s="4"/>
      <c r="B966" s="4"/>
      <c r="C966" s="4"/>
      <c r="D966" s="4"/>
      <c r="E966" s="4"/>
      <c r="F966" s="4"/>
    </row>
    <row r="967" ht="14.25" customHeight="1">
      <c r="A967" s="4"/>
      <c r="B967" s="4"/>
      <c r="C967" s="4"/>
      <c r="D967" s="4"/>
      <c r="E967" s="4"/>
      <c r="F967" s="4"/>
    </row>
    <row r="968" ht="14.25" customHeight="1">
      <c r="A968" s="4"/>
      <c r="B968" s="4"/>
      <c r="C968" s="4"/>
      <c r="D968" s="4"/>
      <c r="E968" s="4"/>
      <c r="F968" s="4"/>
    </row>
    <row r="969" ht="14.25" customHeight="1">
      <c r="A969" s="4"/>
      <c r="B969" s="4"/>
      <c r="C969" s="4"/>
      <c r="D969" s="4"/>
      <c r="E969" s="4"/>
      <c r="F969" s="4"/>
    </row>
    <row r="970" ht="14.25" customHeight="1">
      <c r="A970" s="4"/>
      <c r="B970" s="4"/>
      <c r="C970" s="4"/>
      <c r="D970" s="4"/>
      <c r="E970" s="4"/>
      <c r="F970" s="4"/>
    </row>
    <row r="971" ht="14.25" customHeight="1">
      <c r="A971" s="4"/>
      <c r="B971" s="4"/>
      <c r="C971" s="4"/>
      <c r="D971" s="4"/>
      <c r="E971" s="4"/>
      <c r="F971" s="4"/>
    </row>
    <row r="972" ht="14.25" customHeight="1">
      <c r="A972" s="4"/>
      <c r="B972" s="4"/>
      <c r="C972" s="4"/>
      <c r="D972" s="4"/>
      <c r="E972" s="4"/>
      <c r="F972" s="4"/>
    </row>
    <row r="973" ht="14.25" customHeight="1">
      <c r="A973" s="4"/>
      <c r="B973" s="4"/>
      <c r="C973" s="4"/>
      <c r="D973" s="4"/>
      <c r="E973" s="4"/>
      <c r="F973" s="4"/>
    </row>
    <row r="974" ht="14.25" customHeight="1">
      <c r="A974" s="4"/>
      <c r="B974" s="4"/>
      <c r="C974" s="4"/>
      <c r="D974" s="4"/>
      <c r="E974" s="4"/>
      <c r="F974" s="4"/>
    </row>
    <row r="975" ht="14.25" customHeight="1">
      <c r="A975" s="4"/>
      <c r="B975" s="4"/>
      <c r="C975" s="4"/>
      <c r="D975" s="4"/>
      <c r="E975" s="4"/>
      <c r="F975" s="4"/>
    </row>
    <row r="976" ht="14.25" customHeight="1">
      <c r="A976" s="4"/>
      <c r="B976" s="4"/>
      <c r="C976" s="4"/>
      <c r="D976" s="4"/>
      <c r="E976" s="4"/>
      <c r="F976" s="4"/>
    </row>
    <row r="977" ht="14.25" customHeight="1">
      <c r="A977" s="4"/>
      <c r="B977" s="4"/>
      <c r="C977" s="4"/>
      <c r="D977" s="4"/>
      <c r="E977" s="4"/>
      <c r="F977" s="4"/>
    </row>
    <row r="978" ht="14.25" customHeight="1">
      <c r="A978" s="4"/>
      <c r="B978" s="4"/>
      <c r="C978" s="4"/>
      <c r="D978" s="4"/>
      <c r="E978" s="4"/>
      <c r="F978" s="4"/>
    </row>
    <row r="979" ht="14.25" customHeight="1">
      <c r="A979" s="4"/>
      <c r="B979" s="4"/>
      <c r="C979" s="4"/>
      <c r="D979" s="4"/>
      <c r="E979" s="4"/>
      <c r="F979" s="4"/>
    </row>
    <row r="980" ht="14.25" customHeight="1">
      <c r="A980" s="4"/>
      <c r="B980" s="4"/>
      <c r="C980" s="4"/>
      <c r="D980" s="4"/>
      <c r="E980" s="4"/>
      <c r="F980" s="4"/>
    </row>
    <row r="981" ht="14.25" customHeight="1">
      <c r="A981" s="4"/>
      <c r="B981" s="4"/>
      <c r="C981" s="4"/>
      <c r="D981" s="4"/>
      <c r="E981" s="4"/>
      <c r="F981" s="4"/>
    </row>
    <row r="982" ht="14.25" customHeight="1">
      <c r="A982" s="4"/>
      <c r="B982" s="4"/>
      <c r="C982" s="4"/>
      <c r="D982" s="4"/>
      <c r="E982" s="4"/>
      <c r="F982" s="4"/>
    </row>
    <row r="983" ht="14.25" customHeight="1">
      <c r="A983" s="4"/>
      <c r="B983" s="4"/>
      <c r="C983" s="4"/>
      <c r="D983" s="4"/>
      <c r="E983" s="4"/>
      <c r="F983" s="4"/>
    </row>
    <row r="984" ht="14.25" customHeight="1">
      <c r="A984" s="4"/>
      <c r="B984" s="4"/>
      <c r="C984" s="4"/>
      <c r="D984" s="4"/>
      <c r="E984" s="4"/>
      <c r="F984" s="4"/>
    </row>
    <row r="985" ht="14.25" customHeight="1">
      <c r="A985" s="4"/>
      <c r="B985" s="4"/>
      <c r="C985" s="4"/>
      <c r="D985" s="4"/>
      <c r="E985" s="4"/>
      <c r="F985" s="4"/>
    </row>
    <row r="986" ht="14.25" customHeight="1">
      <c r="A986" s="4"/>
      <c r="B986" s="4"/>
      <c r="C986" s="4"/>
      <c r="D986" s="4"/>
      <c r="E986" s="4"/>
      <c r="F986" s="4"/>
    </row>
    <row r="987" ht="14.25" customHeight="1">
      <c r="A987" s="4"/>
      <c r="B987" s="4"/>
      <c r="C987" s="4"/>
      <c r="D987" s="4"/>
      <c r="E987" s="4"/>
      <c r="F987" s="4"/>
    </row>
    <row r="988" ht="14.25" customHeight="1">
      <c r="A988" s="4"/>
      <c r="B988" s="4"/>
      <c r="C988" s="4"/>
      <c r="D988" s="4"/>
      <c r="E988" s="4"/>
      <c r="F988" s="4"/>
    </row>
    <row r="989" ht="14.25" customHeight="1">
      <c r="A989" s="4"/>
      <c r="B989" s="4"/>
      <c r="C989" s="4"/>
      <c r="D989" s="4"/>
      <c r="E989" s="4"/>
      <c r="F989" s="4"/>
    </row>
    <row r="990" ht="14.25" customHeight="1">
      <c r="A990" s="4"/>
      <c r="B990" s="4"/>
      <c r="C990" s="4"/>
      <c r="D990" s="4"/>
      <c r="E990" s="4"/>
      <c r="F990" s="4"/>
    </row>
    <row r="991" ht="14.25" customHeight="1">
      <c r="A991" s="4"/>
      <c r="B991" s="4"/>
      <c r="C991" s="4"/>
      <c r="D991" s="4"/>
      <c r="E991" s="4"/>
      <c r="F991" s="4"/>
    </row>
    <row r="992" ht="14.25" customHeight="1">
      <c r="A992" s="4"/>
      <c r="B992" s="4"/>
      <c r="C992" s="4"/>
      <c r="D992" s="4"/>
      <c r="E992" s="4"/>
      <c r="F992" s="4"/>
    </row>
    <row r="993" ht="14.25" customHeight="1">
      <c r="A993" s="4"/>
      <c r="B993" s="4"/>
      <c r="C993" s="4"/>
      <c r="D993" s="4"/>
      <c r="E993" s="4"/>
      <c r="F993" s="4"/>
    </row>
    <row r="994" ht="14.25" customHeight="1">
      <c r="A994" s="4"/>
      <c r="B994" s="4"/>
      <c r="C994" s="4"/>
      <c r="D994" s="4"/>
      <c r="E994" s="4"/>
      <c r="F994" s="4"/>
    </row>
    <row r="995" ht="14.25" customHeight="1">
      <c r="A995" s="4"/>
      <c r="B995" s="4"/>
      <c r="C995" s="4"/>
      <c r="D995" s="4"/>
      <c r="E995" s="4"/>
      <c r="F995" s="4"/>
    </row>
    <row r="996" ht="14.25" customHeight="1">
      <c r="A996" s="4"/>
      <c r="B996" s="4"/>
      <c r="C996" s="4"/>
      <c r="D996" s="4"/>
      <c r="E996" s="4"/>
      <c r="F996" s="4"/>
    </row>
    <row r="997" ht="14.25" customHeight="1">
      <c r="A997" s="4"/>
      <c r="B997" s="4"/>
      <c r="C997" s="4"/>
      <c r="D997" s="4"/>
      <c r="E997" s="4"/>
      <c r="F997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9.38"/>
    <col customWidth="1" min="3" max="3" width="12.13"/>
    <col customWidth="1" min="4" max="4" width="9.38"/>
    <col customWidth="1" min="5" max="5" width="11.75"/>
    <col customWidth="1" min="6" max="132" width="9.38"/>
    <col customWidth="1" min="133" max="133" width="9.5"/>
    <col customWidth="1" min="134" max="203" width="9.38"/>
    <col customWidth="1" min="204" max="204" width="9.5"/>
    <col customWidth="1" min="205" max="220" width="9.38"/>
  </cols>
  <sheetData>
    <row r="1" ht="14.25" customHeight="1">
      <c r="A1" s="4" t="s">
        <v>75</v>
      </c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GU1" s="4"/>
      <c r="GV1" s="4"/>
      <c r="GW1" s="4"/>
      <c r="GX1" s="4"/>
      <c r="GY1" s="4"/>
      <c r="GZ1" s="4"/>
      <c r="HA1" s="4"/>
      <c r="HB1" s="4"/>
      <c r="HC1" s="4"/>
    </row>
    <row r="2" ht="14.25" customHeight="1">
      <c r="DW2" s="4"/>
      <c r="DX2" s="4"/>
      <c r="DY2" s="4"/>
      <c r="DZ2" s="4"/>
      <c r="EA2" s="4"/>
      <c r="EB2" s="4"/>
      <c r="EC2" s="4" t="s">
        <v>2</v>
      </c>
      <c r="ED2" s="4"/>
      <c r="EE2" s="4"/>
      <c r="EF2" s="4"/>
      <c r="EG2" s="4"/>
      <c r="EH2" s="4"/>
      <c r="EI2" s="4"/>
      <c r="GU2" s="4"/>
      <c r="GV2" s="4"/>
      <c r="GW2" s="4"/>
      <c r="GX2" s="4"/>
      <c r="GY2" s="4"/>
      <c r="GZ2" s="4"/>
      <c r="HA2" s="4"/>
      <c r="HB2" s="4"/>
      <c r="HC2" s="4"/>
    </row>
    <row r="3" ht="14.25" customHeight="1">
      <c r="A3" s="1" t="s">
        <v>0</v>
      </c>
      <c r="B3" s="2"/>
      <c r="C3" s="3">
        <v>1820.0</v>
      </c>
      <c r="D3" s="3">
        <v>1821.0</v>
      </c>
      <c r="E3" s="3">
        <v>1822.0</v>
      </c>
      <c r="F3" s="3">
        <v>1823.0</v>
      </c>
      <c r="G3" s="3">
        <v>1824.0</v>
      </c>
      <c r="H3" s="3">
        <v>1825.0</v>
      </c>
      <c r="I3" s="3">
        <v>1826.0</v>
      </c>
      <c r="J3" s="3">
        <v>1827.0</v>
      </c>
      <c r="K3" s="3">
        <v>1828.0</v>
      </c>
      <c r="L3" s="3">
        <v>1829.0</v>
      </c>
      <c r="M3" s="3">
        <v>1830.0</v>
      </c>
      <c r="N3" s="3">
        <v>1831.0</v>
      </c>
      <c r="O3" s="3">
        <v>1832.0</v>
      </c>
      <c r="P3" s="3">
        <v>1833.0</v>
      </c>
      <c r="Q3" s="3">
        <v>1834.0</v>
      </c>
      <c r="R3" s="3">
        <v>1835.0</v>
      </c>
      <c r="S3" s="3">
        <v>1836.0</v>
      </c>
      <c r="T3" s="3">
        <v>1837.0</v>
      </c>
      <c r="U3" s="3">
        <v>1838.0</v>
      </c>
      <c r="V3" s="3">
        <v>1839.0</v>
      </c>
      <c r="W3" s="3">
        <v>1840.0</v>
      </c>
      <c r="X3" s="3">
        <v>1841.0</v>
      </c>
      <c r="Y3" s="3">
        <v>1842.0</v>
      </c>
      <c r="Z3" s="3">
        <v>1843.0</v>
      </c>
      <c r="AA3" s="3">
        <v>1844.0</v>
      </c>
      <c r="AB3" s="3">
        <v>1845.0</v>
      </c>
      <c r="AC3" s="3">
        <v>1846.0</v>
      </c>
      <c r="AD3" s="3">
        <v>1847.0</v>
      </c>
      <c r="AE3" s="3">
        <v>1848.0</v>
      </c>
      <c r="AF3" s="3">
        <v>1849.0</v>
      </c>
      <c r="AG3" s="3">
        <v>1850.0</v>
      </c>
      <c r="AH3" s="3">
        <v>1851.0</v>
      </c>
      <c r="AI3" s="3">
        <v>1852.0</v>
      </c>
      <c r="AJ3" s="3">
        <v>1853.0</v>
      </c>
      <c r="AK3" s="3">
        <v>1854.0</v>
      </c>
      <c r="AL3" s="3">
        <v>1855.0</v>
      </c>
      <c r="AM3" s="3">
        <v>1856.0</v>
      </c>
      <c r="AN3" s="3">
        <v>1857.0</v>
      </c>
      <c r="AO3" s="3">
        <v>1858.0</v>
      </c>
      <c r="AP3" s="3">
        <v>1859.0</v>
      </c>
      <c r="AQ3" s="3">
        <v>1860.0</v>
      </c>
      <c r="AR3" s="3">
        <v>1861.0</v>
      </c>
      <c r="AS3" s="3">
        <v>1862.0</v>
      </c>
      <c r="AT3" s="3">
        <v>1863.0</v>
      </c>
      <c r="AU3" s="3">
        <v>1864.0</v>
      </c>
      <c r="AV3" s="3">
        <v>1865.0</v>
      </c>
      <c r="AW3" s="3">
        <v>1866.0</v>
      </c>
      <c r="AX3" s="3">
        <v>1867.0</v>
      </c>
      <c r="AY3" s="3">
        <v>1868.0</v>
      </c>
      <c r="AZ3" s="3">
        <v>1869.0</v>
      </c>
      <c r="BA3" s="3">
        <v>1870.0</v>
      </c>
      <c r="BB3" s="3">
        <v>1871.0</v>
      </c>
      <c r="BC3" s="3">
        <v>1872.0</v>
      </c>
      <c r="BD3" s="3">
        <v>1873.0</v>
      </c>
      <c r="BE3" s="3">
        <v>1874.0</v>
      </c>
      <c r="BF3" s="3">
        <v>1875.0</v>
      </c>
      <c r="BG3" s="3">
        <v>1876.0</v>
      </c>
      <c r="BH3" s="3">
        <v>1877.0</v>
      </c>
      <c r="BI3" s="3">
        <v>1878.0</v>
      </c>
      <c r="BJ3" s="3">
        <v>1879.0</v>
      </c>
      <c r="BK3" s="3">
        <v>1880.0</v>
      </c>
      <c r="BL3" s="3">
        <v>1881.0</v>
      </c>
      <c r="BM3" s="3">
        <v>1882.0</v>
      </c>
      <c r="BN3" s="3">
        <v>1883.0</v>
      </c>
      <c r="BO3" s="3">
        <v>1884.0</v>
      </c>
      <c r="BP3" s="3">
        <v>1885.0</v>
      </c>
      <c r="BQ3" s="3">
        <v>1886.0</v>
      </c>
      <c r="BR3" s="3">
        <v>1887.0</v>
      </c>
      <c r="BS3" s="3">
        <v>1888.0</v>
      </c>
      <c r="BT3" s="3">
        <v>1889.0</v>
      </c>
      <c r="BU3" s="3">
        <v>1890.0</v>
      </c>
      <c r="BV3" s="3">
        <v>1891.0</v>
      </c>
      <c r="BW3" s="3">
        <v>1892.0</v>
      </c>
      <c r="BX3" s="3">
        <v>1893.0</v>
      </c>
      <c r="BY3" s="3">
        <v>1894.0</v>
      </c>
      <c r="BZ3" s="3">
        <v>1895.0</v>
      </c>
      <c r="CA3" s="3">
        <v>1896.0</v>
      </c>
      <c r="CB3" s="3">
        <v>1897.0</v>
      </c>
      <c r="CC3" s="3">
        <v>1898.0</v>
      </c>
      <c r="CD3" s="3">
        <v>1899.0</v>
      </c>
      <c r="CE3" s="3">
        <v>1900.0</v>
      </c>
      <c r="CF3" s="3">
        <v>1901.0</v>
      </c>
      <c r="CG3" s="3">
        <v>1902.0</v>
      </c>
      <c r="CH3" s="3">
        <v>1903.0</v>
      </c>
      <c r="CI3" s="3">
        <v>1904.0</v>
      </c>
      <c r="CJ3" s="3">
        <v>1905.0</v>
      </c>
      <c r="CK3" s="3">
        <v>1906.0</v>
      </c>
      <c r="CL3" s="3">
        <v>1907.0</v>
      </c>
      <c r="CM3" s="3">
        <v>1908.0</v>
      </c>
      <c r="CN3" s="3">
        <v>1909.0</v>
      </c>
      <c r="CO3" s="3">
        <v>1910.0</v>
      </c>
      <c r="CP3" s="3">
        <v>1911.0</v>
      </c>
      <c r="CQ3" s="3">
        <v>1912.0</v>
      </c>
      <c r="CR3" s="3">
        <v>1913.0</v>
      </c>
      <c r="CS3" s="3">
        <v>1914.0</v>
      </c>
      <c r="CT3" s="3">
        <v>1915.0</v>
      </c>
      <c r="CU3" s="3">
        <v>1916.0</v>
      </c>
      <c r="CV3" s="3">
        <v>1917.0</v>
      </c>
      <c r="CW3" s="3">
        <v>1918.0</v>
      </c>
      <c r="CX3" s="3">
        <v>1919.0</v>
      </c>
      <c r="CY3" s="3">
        <v>1920.0</v>
      </c>
      <c r="CZ3" s="3">
        <v>1921.0</v>
      </c>
      <c r="DA3" s="3">
        <v>1922.0</v>
      </c>
      <c r="DB3" s="3">
        <v>1923.0</v>
      </c>
      <c r="DC3" s="3">
        <v>1924.0</v>
      </c>
      <c r="DD3" s="3">
        <v>1925.0</v>
      </c>
      <c r="DE3" s="3">
        <v>1926.0</v>
      </c>
      <c r="DF3" s="3">
        <v>1927.0</v>
      </c>
      <c r="DG3" s="3">
        <v>1928.0</v>
      </c>
      <c r="DH3" s="3">
        <v>1929.0</v>
      </c>
      <c r="DI3" s="3">
        <v>1930.0</v>
      </c>
      <c r="DJ3" s="3">
        <v>1931.0</v>
      </c>
      <c r="DK3" s="3">
        <v>1932.0</v>
      </c>
      <c r="DL3" s="3">
        <v>1933.0</v>
      </c>
      <c r="DM3" s="3">
        <v>1934.0</v>
      </c>
      <c r="DN3" s="3">
        <v>1935.0</v>
      </c>
      <c r="DO3" s="3">
        <v>1936.0</v>
      </c>
      <c r="DP3" s="3">
        <v>1937.0</v>
      </c>
      <c r="DQ3" s="3">
        <v>1938.0</v>
      </c>
      <c r="DR3" s="3">
        <v>1939.0</v>
      </c>
      <c r="DS3" s="3">
        <v>1940.0</v>
      </c>
      <c r="DT3" s="3">
        <v>1941.0</v>
      </c>
      <c r="DU3" s="3">
        <v>1942.0</v>
      </c>
      <c r="DV3" s="3">
        <v>1943.0</v>
      </c>
      <c r="DW3" s="3">
        <v>1944.0</v>
      </c>
      <c r="DX3" s="3">
        <v>1945.0</v>
      </c>
      <c r="DY3" s="3">
        <v>1946.0</v>
      </c>
      <c r="DZ3" s="3">
        <v>1947.0</v>
      </c>
      <c r="EA3" s="3">
        <v>1948.0</v>
      </c>
      <c r="EB3" s="3">
        <v>1949.0</v>
      </c>
      <c r="EC3" s="3">
        <v>1950.0</v>
      </c>
      <c r="ED3" s="3">
        <v>1951.0</v>
      </c>
      <c r="EE3" s="3">
        <v>1952.0</v>
      </c>
      <c r="EF3" s="3">
        <v>1953.0</v>
      </c>
      <c r="EG3" s="3">
        <v>1954.0</v>
      </c>
      <c r="EH3" s="3">
        <v>1955.0</v>
      </c>
      <c r="EI3" s="3">
        <v>1956.0</v>
      </c>
      <c r="EJ3" s="3">
        <v>1957.0</v>
      </c>
      <c r="EK3" s="3">
        <v>1958.0</v>
      </c>
      <c r="EL3" s="3">
        <v>1959.0</v>
      </c>
      <c r="EM3" s="3">
        <v>1960.0</v>
      </c>
      <c r="EN3" s="3">
        <v>1961.0</v>
      </c>
      <c r="EO3" s="3">
        <v>1962.0</v>
      </c>
      <c r="EP3" s="3">
        <v>1963.0</v>
      </c>
      <c r="EQ3" s="3">
        <v>1964.0</v>
      </c>
      <c r="ER3" s="3">
        <v>1965.0</v>
      </c>
      <c r="ES3" s="3">
        <v>1966.0</v>
      </c>
      <c r="ET3" s="3">
        <v>1967.0</v>
      </c>
      <c r="EU3" s="3">
        <v>1968.0</v>
      </c>
      <c r="EV3" s="3">
        <v>1969.0</v>
      </c>
      <c r="EW3" s="3">
        <v>1970.0</v>
      </c>
      <c r="EX3" s="3">
        <v>1971.0</v>
      </c>
      <c r="EY3" s="3">
        <v>1972.0</v>
      </c>
      <c r="EZ3" s="3">
        <v>1973.0</v>
      </c>
      <c r="FA3" s="3">
        <v>1974.0</v>
      </c>
      <c r="FB3" s="3">
        <v>1975.0</v>
      </c>
      <c r="FC3" s="3">
        <v>1976.0</v>
      </c>
      <c r="FD3" s="3">
        <v>1977.0</v>
      </c>
      <c r="FE3" s="3">
        <v>1978.0</v>
      </c>
      <c r="FF3" s="3">
        <v>1979.0</v>
      </c>
      <c r="FG3" s="3">
        <v>1980.0</v>
      </c>
      <c r="FH3" s="3">
        <v>1981.0</v>
      </c>
      <c r="FI3" s="3">
        <v>1982.0</v>
      </c>
      <c r="FJ3" s="3">
        <v>1983.0</v>
      </c>
      <c r="FK3" s="3">
        <v>1984.0</v>
      </c>
      <c r="FL3" s="3">
        <v>1985.0</v>
      </c>
      <c r="FM3" s="3">
        <v>1986.0</v>
      </c>
      <c r="FN3" s="3">
        <v>1987.0</v>
      </c>
      <c r="FO3" s="3">
        <v>1988.0</v>
      </c>
      <c r="FP3" s="3">
        <v>1989.0</v>
      </c>
      <c r="FQ3" s="3">
        <v>1990.0</v>
      </c>
      <c r="FR3" s="3">
        <v>1991.0</v>
      </c>
      <c r="FS3" s="3">
        <v>1992.0</v>
      </c>
      <c r="FT3" s="3">
        <v>1993.0</v>
      </c>
      <c r="FU3" s="3">
        <v>1994.0</v>
      </c>
      <c r="FV3" s="3">
        <v>1995.0</v>
      </c>
      <c r="FW3" s="3">
        <v>1996.0</v>
      </c>
      <c r="FX3" s="3">
        <v>1997.0</v>
      </c>
      <c r="FY3" s="3">
        <v>1998.0</v>
      </c>
      <c r="FZ3" s="3">
        <v>1999.0</v>
      </c>
      <c r="GA3" s="3">
        <v>2000.0</v>
      </c>
      <c r="GB3" s="3">
        <v>2001.0</v>
      </c>
      <c r="GC3" s="3">
        <v>2002.0</v>
      </c>
      <c r="GD3" s="3">
        <v>2003.0</v>
      </c>
      <c r="GE3" s="3">
        <v>2004.0</v>
      </c>
      <c r="GF3" s="3">
        <v>2005.0</v>
      </c>
      <c r="GG3" s="3">
        <v>2006.0</v>
      </c>
      <c r="GH3" s="3">
        <v>2007.0</v>
      </c>
      <c r="GI3" s="3">
        <v>2008.0</v>
      </c>
      <c r="GJ3" s="3">
        <v>2009.0</v>
      </c>
      <c r="GK3" s="3">
        <v>2010.0</v>
      </c>
      <c r="GL3" s="3">
        <v>2011.0</v>
      </c>
      <c r="GM3" s="3">
        <v>2012.0</v>
      </c>
      <c r="GN3" s="3">
        <v>2013.0</v>
      </c>
      <c r="GO3" s="3">
        <v>2014.0</v>
      </c>
      <c r="GP3" s="3">
        <v>2015.0</v>
      </c>
      <c r="GQ3" s="3">
        <v>2016.0</v>
      </c>
      <c r="GR3" s="3">
        <v>2017.0</v>
      </c>
      <c r="GS3" s="3">
        <v>2018.0</v>
      </c>
      <c r="GT3" s="3">
        <v>2019.0</v>
      </c>
      <c r="GU3" s="3">
        <v>2020.0</v>
      </c>
      <c r="GV3" s="1">
        <v>2021.0</v>
      </c>
      <c r="GW3" s="3">
        <v>2022.0</v>
      </c>
      <c r="GX3" s="1">
        <v>2023.0</v>
      </c>
      <c r="GY3" s="3">
        <v>2024.0</v>
      </c>
      <c r="GZ3" s="1">
        <v>2025.0</v>
      </c>
      <c r="HA3" s="3">
        <v>2026.0</v>
      </c>
      <c r="HB3" s="1">
        <v>2027.0</v>
      </c>
      <c r="HC3" s="1"/>
      <c r="HD3" s="1"/>
      <c r="HE3" s="1"/>
      <c r="HF3" s="1"/>
      <c r="HG3" s="1"/>
      <c r="HH3" s="1"/>
      <c r="HI3" s="1"/>
      <c r="HJ3" s="1"/>
      <c r="HK3" s="1"/>
      <c r="HL3" s="1"/>
    </row>
    <row r="4" ht="14.25" customHeight="1">
      <c r="A4" s="7" t="s">
        <v>1</v>
      </c>
      <c r="D4" s="5">
        <v>0.08616217435434759</v>
      </c>
      <c r="E4" s="5">
        <v>-0.03262901048696916</v>
      </c>
      <c r="F4" s="5">
        <v>0.03861325032870905</v>
      </c>
      <c r="G4" s="5">
        <v>0.03407740402004857</v>
      </c>
      <c r="H4" s="5">
        <v>-0.03745159275452842</v>
      </c>
      <c r="I4" s="5">
        <v>0.03262731661734932</v>
      </c>
      <c r="J4" s="5">
        <v>-0.015182364326471106</v>
      </c>
      <c r="K4" s="5">
        <v>-5.360014293371449E-4</v>
      </c>
      <c r="L4" s="5">
        <v>0.03210072015935441</v>
      </c>
      <c r="M4" s="5">
        <v>-0.01880489917109984</v>
      </c>
      <c r="N4" s="5">
        <v>0.018232253183709496</v>
      </c>
      <c r="O4" s="5">
        <v>0.09193124969042547</v>
      </c>
      <c r="P4" s="5">
        <v>-0.01528691313222953</v>
      </c>
      <c r="Q4" s="5">
        <v>0.005689146858301087</v>
      </c>
      <c r="R4" s="5">
        <v>0.03776653001397064</v>
      </c>
      <c r="S4" s="5">
        <v>-0.011233227401129944</v>
      </c>
      <c r="T4" s="5">
        <v>0.019329062785974155</v>
      </c>
      <c r="U4" s="5">
        <v>0.04882962184413935</v>
      </c>
      <c r="V4" s="5">
        <v>-0.031983966262343684</v>
      </c>
      <c r="W4" s="5">
        <v>0.07464360428753208</v>
      </c>
      <c r="X4" s="5">
        <v>0.02442401862406679</v>
      </c>
      <c r="Y4" s="5">
        <v>-0.02178469977470859</v>
      </c>
      <c r="Z4" s="5">
        <v>0.05331143732601686</v>
      </c>
      <c r="AA4" s="5">
        <v>0.0361631333776975</v>
      </c>
      <c r="AB4" s="5">
        <v>-0.030533790850872523</v>
      </c>
      <c r="AC4" s="5">
        <v>0.0024984384759525295</v>
      </c>
      <c r="AD4" s="5">
        <v>0.1102803738317757</v>
      </c>
      <c r="AE4" s="5">
        <v>-0.0613542835765058</v>
      </c>
      <c r="AF4" s="5">
        <v>0.03143229827167651</v>
      </c>
      <c r="AG4" s="5">
        <v>0.019426343245569352</v>
      </c>
      <c r="AH4" s="5">
        <v>-0.014662554489222764</v>
      </c>
      <c r="AI4" s="5">
        <v>0.06545079387284046</v>
      </c>
      <c r="AJ4" s="5">
        <v>-0.048612364806092136</v>
      </c>
      <c r="AK4" s="5">
        <v>0.04819817488657731</v>
      </c>
      <c r="AL4" s="5">
        <v>-0.015157250300347251</v>
      </c>
      <c r="AM4" s="5">
        <v>0.043898933859162464</v>
      </c>
      <c r="AN4" s="5">
        <v>0.05713233763946918</v>
      </c>
      <c r="AO4" s="5">
        <v>0.06976286380568764</v>
      </c>
      <c r="AP4" s="5">
        <v>-0.06510014863047632</v>
      </c>
      <c r="AQ4" s="5">
        <v>0.06860370045120068</v>
      </c>
      <c r="AR4" s="5">
        <v>-0.06266914150502288</v>
      </c>
      <c r="AS4" s="5">
        <v>0.0855277080750975</v>
      </c>
      <c r="AT4" s="5">
        <v>0.0362613490781485</v>
      </c>
      <c r="AU4" s="5">
        <v>0.01128789507632767</v>
      </c>
      <c r="AV4" s="5">
        <v>-0.027891463803550547</v>
      </c>
      <c r="AW4" s="5">
        <v>0.0067526005713738945</v>
      </c>
      <c r="AX4" s="5">
        <v>-0.058967291686467256</v>
      </c>
      <c r="AY4" s="5">
        <v>0.09594851965141109</v>
      </c>
      <c r="AZ4" s="5">
        <v>0.02726506753732326</v>
      </c>
      <c r="BA4" s="5">
        <v>-0.07598442886619079</v>
      </c>
      <c r="BB4" s="5">
        <v>-0.006012024048096049</v>
      </c>
      <c r="BC4" s="5">
        <v>0.09274193548387084</v>
      </c>
      <c r="BD4" s="5">
        <v>-0.07011070110701119</v>
      </c>
      <c r="BE4" s="5">
        <v>0.12698412698412703</v>
      </c>
      <c r="BF4" s="5">
        <v>0.03345070422535226</v>
      </c>
      <c r="BG4" s="5">
        <v>-0.08177172061328801</v>
      </c>
      <c r="BH4" s="5">
        <v>0.05380333951762519</v>
      </c>
      <c r="BI4" s="5">
        <v>-0.012323943661971775</v>
      </c>
      <c r="BJ4" s="5">
        <v>-0.06238859180035639</v>
      </c>
      <c r="BK4" s="5">
        <v>0.08935361216730009</v>
      </c>
      <c r="BL4" s="5">
        <v>0.038394415357766346</v>
      </c>
      <c r="BM4" s="5">
        <v>0.04705882352941171</v>
      </c>
      <c r="BN4" s="5">
        <v>0.0032102728731942527</v>
      </c>
      <c r="BO4" s="5">
        <v>-0.011200000000000107</v>
      </c>
      <c r="BP4" s="5">
        <v>-0.01779935275080891</v>
      </c>
      <c r="BQ4" s="5">
        <v>0.016474464579901146</v>
      </c>
      <c r="BR4" s="5">
        <v>0.00648298217179909</v>
      </c>
      <c r="BS4" s="5">
        <v>0.0096618357487922</v>
      </c>
      <c r="BT4" s="5">
        <v>0.025518341307814916</v>
      </c>
      <c r="BU4" s="5">
        <v>0.023328149300155435</v>
      </c>
      <c r="BV4" s="5">
        <v>0.022796352583586695</v>
      </c>
      <c r="BW4" s="5">
        <v>0.02526002971768212</v>
      </c>
      <c r="BX4" s="5">
        <v>0.017391304347826108</v>
      </c>
      <c r="BY4" s="5">
        <v>0.037037037037036966</v>
      </c>
      <c r="BZ4" s="5">
        <v>-0.020604395604395667</v>
      </c>
      <c r="CA4" s="5">
        <v>0.047685834502103966</v>
      </c>
      <c r="CB4" s="5">
        <v>-0.013386880856760368</v>
      </c>
      <c r="CC4" s="5">
        <v>0.04884667571234714</v>
      </c>
      <c r="CD4" s="5">
        <v>0.05692108667529124</v>
      </c>
      <c r="CE4" s="5">
        <v>-0.011015911872705125</v>
      </c>
      <c r="CF4" s="5">
        <v>-0.016089108910890996</v>
      </c>
      <c r="CG4" s="5">
        <v>-0.016352201257861666</v>
      </c>
      <c r="CH4" s="5">
        <v>0.02173913043478269</v>
      </c>
      <c r="CI4" s="5">
        <v>0.007509386733416717</v>
      </c>
      <c r="CJ4" s="5">
        <v>0.01739130434782613</v>
      </c>
      <c r="CK4" s="5">
        <v>0.018315018315018368</v>
      </c>
      <c r="CL4" s="5">
        <v>0.04316546762589909</v>
      </c>
      <c r="CM4" s="5">
        <v>-0.005747126436781549</v>
      </c>
      <c r="CN4" s="5">
        <v>0.04161849710982641</v>
      </c>
      <c r="CO4" s="5">
        <v>-0.06104328523862368</v>
      </c>
      <c r="CP4" s="5">
        <v>0.0981087470449175</v>
      </c>
      <c r="CQ4" s="5">
        <v>0.08288482238966602</v>
      </c>
      <c r="CR4" s="5">
        <v>-0.005964214711729481</v>
      </c>
      <c r="CS4" s="5">
        <v>-0.07099999999999988</v>
      </c>
      <c r="CT4" s="5">
        <v>-0.02045209903121656</v>
      </c>
      <c r="CU4" s="5">
        <v>0.0505494505494506</v>
      </c>
      <c r="CV4" s="5">
        <v>-0.15271966527196654</v>
      </c>
      <c r="CW4" s="5">
        <v>-0.21111111111111117</v>
      </c>
      <c r="CX4" s="5">
        <v>0.17840375586854462</v>
      </c>
      <c r="CY4" s="5">
        <v>0.15670650730411678</v>
      </c>
      <c r="CZ4" s="5">
        <v>-0.041331802525832205</v>
      </c>
      <c r="DA4" s="5">
        <v>0.1796407185628743</v>
      </c>
      <c r="DB4" s="5">
        <v>0.051776649746192775</v>
      </c>
      <c r="DC4" s="5">
        <v>0.12548262548262554</v>
      </c>
      <c r="DD4" s="5">
        <v>0.004288164665523024</v>
      </c>
      <c r="DE4" s="5">
        <v>0.026473099914603164</v>
      </c>
      <c r="DF4" s="5">
        <v>-0.020798668885191378</v>
      </c>
      <c r="DG4" s="5">
        <v>0.06966864910790142</v>
      </c>
      <c r="DH4" s="5">
        <v>0.06751389992057188</v>
      </c>
      <c r="DI4" s="5">
        <v>-0.029017857142857272</v>
      </c>
      <c r="DJ4" s="5">
        <v>-0.0597701149425287</v>
      </c>
      <c r="DK4" s="5">
        <v>-0.06519967400162997</v>
      </c>
      <c r="DL4" s="5">
        <v>0.07149084568439423</v>
      </c>
      <c r="DM4" s="5">
        <v>-0.009764035801464697</v>
      </c>
      <c r="DN4" s="5">
        <v>-0.025472473294987752</v>
      </c>
      <c r="DO4" s="5">
        <v>0.037942664418212334</v>
      </c>
      <c r="DP4" s="5">
        <v>0.05767668562144589</v>
      </c>
      <c r="DQ4" s="5">
        <v>-0.00384024577572953</v>
      </c>
      <c r="DR4" s="5">
        <v>0.07170393215111805</v>
      </c>
      <c r="DS4" s="5">
        <v>-0.17482014388489203</v>
      </c>
      <c r="DT4" s="5">
        <v>-0.20924149956408022</v>
      </c>
      <c r="DU4" s="5">
        <v>-0.10363836824696813</v>
      </c>
      <c r="DV4" s="5">
        <v>-0.05043050430504292</v>
      </c>
      <c r="DW4" s="5">
        <v>-0.15544041450777196</v>
      </c>
      <c r="DX4" s="5">
        <v>0.08435582822085894</v>
      </c>
      <c r="DY4" s="5">
        <v>0.5205091937765202</v>
      </c>
      <c r="DZ4" s="5">
        <v>0.08372093023255821</v>
      </c>
      <c r="EA4" s="5">
        <v>0.07296137339055796</v>
      </c>
      <c r="EB4" s="5">
        <v>0.13600000000000004</v>
      </c>
      <c r="EC4" s="5">
        <v>0.07465659211447352</v>
      </c>
      <c r="ED4" s="5">
        <v>0.061598606752172415</v>
      </c>
      <c r="EE4" s="5">
        <v>0.02654288814648359</v>
      </c>
      <c r="EF4" s="5">
        <v>0.028865481694806627</v>
      </c>
      <c r="EG4" s="5">
        <v>0.048506813686428854</v>
      </c>
      <c r="EH4" s="5">
        <v>0.057415658816040736</v>
      </c>
      <c r="EI4" s="5">
        <v>0.05060598763945742</v>
      </c>
      <c r="EJ4" s="5">
        <v>0.060211342193083287</v>
      </c>
      <c r="EK4" s="5">
        <v>0.025082867137448086</v>
      </c>
      <c r="EL4" s="5">
        <v>0.028622917505415922</v>
      </c>
      <c r="EM4" s="5">
        <v>0.07046694250816964</v>
      </c>
      <c r="EN4" s="5">
        <v>0.05555571676885978</v>
      </c>
      <c r="EO4" s="5">
        <v>0.066481743156089</v>
      </c>
      <c r="EP4" s="5">
        <v>0.051949156692968186</v>
      </c>
      <c r="EQ4" s="5">
        <v>0.06666666666666667</v>
      </c>
      <c r="ER4" s="5">
        <v>0.0486106006028082</v>
      </c>
      <c r="ES4" s="5">
        <v>0.0507715968242284</v>
      </c>
      <c r="ET4" s="5">
        <v>0.04621886408509875</v>
      </c>
      <c r="EU4" s="5">
        <v>0.044177050970607756</v>
      </c>
      <c r="EV4" s="5">
        <v>0.06930398288441829</v>
      </c>
      <c r="EW4" s="5">
        <v>0.057308845577211394</v>
      </c>
      <c r="EX4" s="5">
        <v>0.04839050016121164</v>
      </c>
      <c r="EY4" s="5">
        <v>0.0444614406131502</v>
      </c>
      <c r="EZ4" s="5">
        <v>0.05441458496488188</v>
      </c>
      <c r="FA4" s="5">
        <v>0.02930997931180689</v>
      </c>
      <c r="FB4" s="5">
        <v>-0.006968631216513355</v>
      </c>
      <c r="FC4" s="5">
        <v>0.04322663515976118</v>
      </c>
      <c r="FD4" s="5">
        <v>0.03732075916668266</v>
      </c>
      <c r="FE4" s="5">
        <v>0.02775644541963796</v>
      </c>
      <c r="FF4" s="5">
        <v>0.032084357927011205</v>
      </c>
      <c r="FG4" s="5">
        <v>0.014046263447191308</v>
      </c>
      <c r="FH4" s="5">
        <v>0.010264659366424869</v>
      </c>
      <c r="FI4" s="5">
        <v>0.02514365369363934</v>
      </c>
      <c r="FJ4" s="5">
        <v>0.01169571908441872</v>
      </c>
      <c r="FK4" s="5">
        <v>0.014693119285422756</v>
      </c>
      <c r="FL4" s="5">
        <v>0.014023801047652952</v>
      </c>
      <c r="FM4" s="5">
        <v>0.023736328870803198</v>
      </c>
      <c r="FN4" s="5">
        <v>0.02526697167110738</v>
      </c>
      <c r="FO4" s="5">
        <v>0.04394443225726579</v>
      </c>
      <c r="FP4" s="5">
        <v>0.04056956975388203</v>
      </c>
      <c r="FQ4" s="5">
        <v>0.026197507512851326</v>
      </c>
      <c r="FR4" s="5">
        <v>0.01211021530742368</v>
      </c>
      <c r="FS4" s="5">
        <v>0.019445763714476573</v>
      </c>
      <c r="FT4" s="5">
        <v>-0.009898145807769853</v>
      </c>
      <c r="FU4" s="5">
        <v>0.02081874143137173</v>
      </c>
      <c r="FV4" s="5">
        <v>0.02354024005027817</v>
      </c>
      <c r="FW4" s="5">
        <v>0.01094483866913416</v>
      </c>
      <c r="FX4" s="5">
        <v>0.024013113328074362</v>
      </c>
      <c r="FY4" s="5">
        <v>0.025396883452960935</v>
      </c>
      <c r="FZ4" s="5">
        <v>0.03304962990157936</v>
      </c>
      <c r="GA4" s="5">
        <v>0.03912832873355816</v>
      </c>
      <c r="GB4" s="5">
        <v>0.018498687647224194</v>
      </c>
      <c r="GC4" s="5">
        <v>0.010251514410392437</v>
      </c>
      <c r="GD4" s="5">
        <v>0.011027102260299085</v>
      </c>
      <c r="GE4" s="5">
        <v>0.023710001162594634</v>
      </c>
      <c r="GF4" s="5">
        <v>0.019000251200724422</v>
      </c>
      <c r="GG4" s="5">
        <v>0.02399996457242982</v>
      </c>
      <c r="GH4" s="5">
        <v>0.022999955311901306</v>
      </c>
      <c r="GI4" s="5">
        <v>0.003000062002220807</v>
      </c>
      <c r="GU4" s="4"/>
      <c r="GV4" s="4"/>
      <c r="GW4" s="4"/>
      <c r="GX4" s="4"/>
      <c r="GY4" s="4"/>
      <c r="GZ4" s="4"/>
      <c r="HA4" s="4"/>
      <c r="HB4" s="4"/>
      <c r="HC4" s="4"/>
      <c r="HE4" s="4"/>
      <c r="HF4" s="4"/>
      <c r="HG4" s="4"/>
      <c r="HH4" s="4"/>
      <c r="HI4" s="4"/>
      <c r="HJ4" s="4"/>
      <c r="HK4" s="4"/>
      <c r="HL4" s="4"/>
    </row>
    <row r="5" ht="14.25" customHeight="1">
      <c r="A5" s="7" t="s">
        <v>2</v>
      </c>
      <c r="DW5" s="4"/>
      <c r="DX5" s="4"/>
      <c r="DY5" s="4"/>
      <c r="DZ5" s="4"/>
      <c r="EA5" s="4"/>
      <c r="EB5" s="4"/>
      <c r="EC5" s="6">
        <v>8.56561745816649</v>
      </c>
      <c r="ED5" s="6">
        <v>5.79152057510074</v>
      </c>
      <c r="EE5" s="6">
        <v>3.11403406430019</v>
      </c>
      <c r="EF5" s="6">
        <v>3.45622996112203</v>
      </c>
      <c r="EG5" s="6">
        <v>5.57832021697569</v>
      </c>
      <c r="EH5" s="6">
        <v>5.31187150812929</v>
      </c>
      <c r="EI5" s="6">
        <v>4.98785370674778</v>
      </c>
      <c r="EJ5" s="6">
        <v>5.51671400223311</v>
      </c>
      <c r="EK5" s="6">
        <v>2.69571385179235</v>
      </c>
      <c r="EL5" s="6">
        <v>2.67142480602955</v>
      </c>
      <c r="EM5" s="6">
        <v>7.99195249065767</v>
      </c>
      <c r="EN5" s="6">
        <v>4.98013286549221</v>
      </c>
      <c r="EO5" s="6">
        <v>6.84353498941024</v>
      </c>
      <c r="EP5" s="6">
        <v>6.23355624094208</v>
      </c>
      <c r="EQ5" s="6">
        <v>6.65220075230069</v>
      </c>
      <c r="ER5" s="6">
        <v>4.86142661591403</v>
      </c>
      <c r="ES5" s="6">
        <v>5.25183358534413</v>
      </c>
      <c r="ET5" s="6">
        <v>4.92123129139564</v>
      </c>
      <c r="EU5" s="6">
        <v>4.49131897030728</v>
      </c>
      <c r="EV5" s="6">
        <v>7.10945009049206</v>
      </c>
      <c r="EW5" s="6">
        <v>6.10867761617023</v>
      </c>
      <c r="EX5" s="6">
        <v>5.31675290605666</v>
      </c>
      <c r="EY5" s="6">
        <v>4.51137162790879</v>
      </c>
      <c r="EZ5" s="6">
        <v>6.34456486486927</v>
      </c>
      <c r="FA5" s="6">
        <v>4.30084071012452</v>
      </c>
      <c r="FB5" s="6">
        <v>-0.959867329154789</v>
      </c>
      <c r="FC5" s="6">
        <v>4.3567555213389</v>
      </c>
      <c r="FD5" s="6">
        <v>3.46429235913467</v>
      </c>
      <c r="FE5" s="6">
        <v>3.97854946848446</v>
      </c>
      <c r="FF5" s="6">
        <v>3.55000037634591</v>
      </c>
      <c r="FG5" s="6">
        <v>1.57880122754374</v>
      </c>
      <c r="FH5" s="6">
        <v>1.06901275670967</v>
      </c>
      <c r="FI5" s="6">
        <v>2.50536136560163</v>
      </c>
      <c r="FJ5" s="6">
        <v>1.24085291552498</v>
      </c>
      <c r="FK5" s="6">
        <v>1.5137078700601</v>
      </c>
      <c r="FL5" s="6">
        <v>1.6228216501733</v>
      </c>
      <c r="FM5" s="6">
        <v>2.3372356023938</v>
      </c>
      <c r="FN5" s="6">
        <v>2.56190869406679</v>
      </c>
      <c r="FO5" s="6">
        <v>4.74318506127023</v>
      </c>
      <c r="FP5" s="6">
        <v>4.34381995889572</v>
      </c>
      <c r="FQ5" s="6">
        <v>2.92395174185515</v>
      </c>
      <c r="FR5" s="6">
        <v>1.0481802223058</v>
      </c>
      <c r="FS5" s="6">
        <v>1.59934649977294</v>
      </c>
      <c r="FT5" s="6">
        <v>-0.628658846908874</v>
      </c>
      <c r="FU5" s="6">
        <v>2.35837174390399</v>
      </c>
      <c r="FV5" s="6">
        <v>2.1066514052863</v>
      </c>
      <c r="FW5" s="6">
        <v>1.41299601530085</v>
      </c>
      <c r="FX5" s="6">
        <v>2.33632936675067</v>
      </c>
      <c r="FY5" s="6">
        <v>3.5886293379514</v>
      </c>
      <c r="FZ5" s="6">
        <v>3.42135235980006</v>
      </c>
      <c r="GA5" s="6">
        <v>3.92371245576191</v>
      </c>
      <c r="GB5" s="6">
        <v>1.98371211462977</v>
      </c>
      <c r="GC5" s="6">
        <v>1.13554174369233</v>
      </c>
      <c r="GD5" s="6">
        <v>0.823122997395163</v>
      </c>
      <c r="GE5" s="6">
        <v>2.82979658451117</v>
      </c>
      <c r="GF5" s="6">
        <v>1.66318213006728</v>
      </c>
      <c r="GG5" s="6">
        <v>2.44934540139417</v>
      </c>
      <c r="GH5" s="6">
        <v>2.42473978561776</v>
      </c>
      <c r="GI5" s="6">
        <v>0.25493676773192</v>
      </c>
      <c r="GJ5" s="6">
        <v>-2.87332540715448</v>
      </c>
      <c r="GK5" s="6">
        <v>1.94945890344995</v>
      </c>
      <c r="GL5" s="6">
        <v>2.19267971584139</v>
      </c>
      <c r="GM5" s="6">
        <v>0.31316447000194</v>
      </c>
      <c r="GN5" s="6">
        <v>0.576323570182615</v>
      </c>
      <c r="GO5" s="6">
        <v>0.956168723899057</v>
      </c>
      <c r="GP5" s="6">
        <v>1.11291234158153</v>
      </c>
      <c r="GQ5" s="6">
        <v>1.09546258424186</v>
      </c>
      <c r="GR5" s="6">
        <v>2.29140752391649</v>
      </c>
      <c r="GS5" s="6">
        <v>1.86509853990131</v>
      </c>
      <c r="GT5" s="6">
        <v>1.842969128839</v>
      </c>
      <c r="GU5" s="6">
        <v>-7.85526627243211</v>
      </c>
      <c r="GV5" s="4"/>
      <c r="GW5" s="4"/>
      <c r="GX5" s="4"/>
      <c r="GY5" s="4"/>
      <c r="GZ5" s="4"/>
      <c r="HA5" s="4"/>
      <c r="HB5" s="4"/>
      <c r="HC5" s="4"/>
      <c r="HE5" s="4"/>
      <c r="HF5" s="4"/>
      <c r="HG5" s="4"/>
      <c r="HH5" s="4"/>
      <c r="HI5" s="4"/>
      <c r="HJ5" s="4"/>
      <c r="HK5" s="4"/>
      <c r="HL5" s="4"/>
    </row>
    <row r="6" ht="14.25" customHeight="1">
      <c r="A6" s="7" t="s">
        <v>3</v>
      </c>
      <c r="DW6" s="4"/>
      <c r="DX6" s="4"/>
      <c r="DY6" s="4"/>
      <c r="DZ6" s="4"/>
      <c r="EA6" s="4"/>
      <c r="EB6" s="4"/>
      <c r="EC6" s="5">
        <f t="shared" ref="EC6:GU6" si="1">EC5/100</f>
        <v>0.08565617458</v>
      </c>
      <c r="ED6" s="5">
        <f t="shared" si="1"/>
        <v>0.05791520575</v>
      </c>
      <c r="EE6" s="5">
        <f t="shared" si="1"/>
        <v>0.03114034064</v>
      </c>
      <c r="EF6" s="5">
        <f t="shared" si="1"/>
        <v>0.03456229961</v>
      </c>
      <c r="EG6" s="5">
        <f t="shared" si="1"/>
        <v>0.05578320217</v>
      </c>
      <c r="EH6" s="5">
        <f t="shared" si="1"/>
        <v>0.05311871508</v>
      </c>
      <c r="EI6" s="5">
        <f t="shared" si="1"/>
        <v>0.04987853707</v>
      </c>
      <c r="EJ6" s="5">
        <f t="shared" si="1"/>
        <v>0.05516714002</v>
      </c>
      <c r="EK6" s="5">
        <f t="shared" si="1"/>
        <v>0.02695713852</v>
      </c>
      <c r="EL6" s="5">
        <f t="shared" si="1"/>
        <v>0.02671424806</v>
      </c>
      <c r="EM6" s="5">
        <f t="shared" si="1"/>
        <v>0.07991952491</v>
      </c>
      <c r="EN6" s="5">
        <f t="shared" si="1"/>
        <v>0.04980132865</v>
      </c>
      <c r="EO6" s="5">
        <f t="shared" si="1"/>
        <v>0.06843534989</v>
      </c>
      <c r="EP6" s="5">
        <f t="shared" si="1"/>
        <v>0.06233556241</v>
      </c>
      <c r="EQ6" s="5">
        <f t="shared" si="1"/>
        <v>0.06652200752</v>
      </c>
      <c r="ER6" s="5">
        <f t="shared" si="1"/>
        <v>0.04861426616</v>
      </c>
      <c r="ES6" s="5">
        <f t="shared" si="1"/>
        <v>0.05251833585</v>
      </c>
      <c r="ET6" s="5">
        <f t="shared" si="1"/>
        <v>0.04921231291</v>
      </c>
      <c r="EU6" s="5">
        <f t="shared" si="1"/>
        <v>0.0449131897</v>
      </c>
      <c r="EV6" s="5">
        <f t="shared" si="1"/>
        <v>0.0710945009</v>
      </c>
      <c r="EW6" s="5">
        <f t="shared" si="1"/>
        <v>0.06108677616</v>
      </c>
      <c r="EX6" s="5">
        <f t="shared" si="1"/>
        <v>0.05316752906</v>
      </c>
      <c r="EY6" s="5">
        <f t="shared" si="1"/>
        <v>0.04511371628</v>
      </c>
      <c r="EZ6" s="5">
        <f t="shared" si="1"/>
        <v>0.06344564865</v>
      </c>
      <c r="FA6" s="5">
        <f t="shared" si="1"/>
        <v>0.0430084071</v>
      </c>
      <c r="FB6" s="5">
        <f t="shared" si="1"/>
        <v>-0.009598673292</v>
      </c>
      <c r="FC6" s="5">
        <f t="shared" si="1"/>
        <v>0.04356755521</v>
      </c>
      <c r="FD6" s="5">
        <f t="shared" si="1"/>
        <v>0.03464292359</v>
      </c>
      <c r="FE6" s="5">
        <f t="shared" si="1"/>
        <v>0.03978549468</v>
      </c>
      <c r="FF6" s="5">
        <f t="shared" si="1"/>
        <v>0.03550000376</v>
      </c>
      <c r="FG6" s="5">
        <f t="shared" si="1"/>
        <v>0.01578801228</v>
      </c>
      <c r="FH6" s="5">
        <f t="shared" si="1"/>
        <v>0.01069012757</v>
      </c>
      <c r="FI6" s="5">
        <f t="shared" si="1"/>
        <v>0.02505361366</v>
      </c>
      <c r="FJ6" s="5">
        <f t="shared" si="1"/>
        <v>0.01240852916</v>
      </c>
      <c r="FK6" s="5">
        <f t="shared" si="1"/>
        <v>0.0151370787</v>
      </c>
      <c r="FL6" s="5">
        <f t="shared" si="1"/>
        <v>0.0162282165</v>
      </c>
      <c r="FM6" s="5">
        <f t="shared" si="1"/>
        <v>0.02337235602</v>
      </c>
      <c r="FN6" s="5">
        <f t="shared" si="1"/>
        <v>0.02561908694</v>
      </c>
      <c r="FO6" s="5">
        <f t="shared" si="1"/>
        <v>0.04743185061</v>
      </c>
      <c r="FP6" s="5">
        <f t="shared" si="1"/>
        <v>0.04343819959</v>
      </c>
      <c r="FQ6" s="5">
        <f t="shared" si="1"/>
        <v>0.02923951742</v>
      </c>
      <c r="FR6" s="5">
        <f t="shared" si="1"/>
        <v>0.01048180222</v>
      </c>
      <c r="FS6" s="5">
        <f t="shared" si="1"/>
        <v>0.015993465</v>
      </c>
      <c r="FT6" s="5">
        <f t="shared" si="1"/>
        <v>-0.006286588469</v>
      </c>
      <c r="FU6" s="5">
        <f t="shared" si="1"/>
        <v>0.02358371744</v>
      </c>
      <c r="FV6" s="5">
        <f t="shared" si="1"/>
        <v>0.02106651405</v>
      </c>
      <c r="FW6" s="5">
        <f t="shared" si="1"/>
        <v>0.01412996015</v>
      </c>
      <c r="FX6" s="5">
        <f t="shared" si="1"/>
        <v>0.02336329367</v>
      </c>
      <c r="FY6" s="5">
        <f t="shared" si="1"/>
        <v>0.03588629338</v>
      </c>
      <c r="FZ6" s="5">
        <f t="shared" si="1"/>
        <v>0.0342135236</v>
      </c>
      <c r="GA6" s="5">
        <f t="shared" si="1"/>
        <v>0.03923712456</v>
      </c>
      <c r="GB6" s="5">
        <f t="shared" si="1"/>
        <v>0.01983712115</v>
      </c>
      <c r="GC6" s="5">
        <f t="shared" si="1"/>
        <v>0.01135541744</v>
      </c>
      <c r="GD6" s="5">
        <f t="shared" si="1"/>
        <v>0.008231229974</v>
      </c>
      <c r="GE6" s="5">
        <f t="shared" si="1"/>
        <v>0.02829796585</v>
      </c>
      <c r="GF6" s="5">
        <f t="shared" si="1"/>
        <v>0.0166318213</v>
      </c>
      <c r="GG6" s="5">
        <f t="shared" si="1"/>
        <v>0.02449345401</v>
      </c>
      <c r="GH6" s="5">
        <f t="shared" si="1"/>
        <v>0.02424739786</v>
      </c>
      <c r="GI6" s="5">
        <f t="shared" si="1"/>
        <v>0.002549367677</v>
      </c>
      <c r="GJ6" s="5">
        <f t="shared" si="1"/>
        <v>-0.02873325407</v>
      </c>
      <c r="GK6" s="5">
        <f t="shared" si="1"/>
        <v>0.01949458903</v>
      </c>
      <c r="GL6" s="5">
        <f t="shared" si="1"/>
        <v>0.02192679716</v>
      </c>
      <c r="GM6" s="5">
        <f t="shared" si="1"/>
        <v>0.0031316447</v>
      </c>
      <c r="GN6" s="5">
        <f t="shared" si="1"/>
        <v>0.005763235702</v>
      </c>
      <c r="GO6" s="5">
        <f t="shared" si="1"/>
        <v>0.009561687239</v>
      </c>
      <c r="GP6" s="5">
        <f t="shared" si="1"/>
        <v>0.01112912342</v>
      </c>
      <c r="GQ6" s="5">
        <f t="shared" si="1"/>
        <v>0.01095462584</v>
      </c>
      <c r="GR6" s="5">
        <f t="shared" si="1"/>
        <v>0.02291407524</v>
      </c>
      <c r="GS6" s="5">
        <f t="shared" si="1"/>
        <v>0.0186509854</v>
      </c>
      <c r="GT6" s="5">
        <f t="shared" si="1"/>
        <v>0.01842969129</v>
      </c>
      <c r="GU6" s="5">
        <f t="shared" si="1"/>
        <v>-0.07855266272</v>
      </c>
      <c r="GV6" s="4"/>
      <c r="GW6" s="4"/>
      <c r="GX6" s="4"/>
      <c r="GY6" s="4"/>
      <c r="GZ6" s="4"/>
      <c r="HA6" s="4"/>
      <c r="HB6" s="4"/>
      <c r="HC6" s="4"/>
      <c r="HE6" s="4"/>
      <c r="HF6" s="4"/>
      <c r="HG6" s="4"/>
      <c r="HH6" s="4"/>
      <c r="HI6" s="4"/>
      <c r="HJ6" s="4"/>
      <c r="HK6" s="4"/>
      <c r="HL6" s="4"/>
    </row>
    <row r="7" ht="14.25" customHeight="1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>
        <v>0.018</v>
      </c>
      <c r="GT7" s="5">
        <v>0.015</v>
      </c>
      <c r="GU7" s="5">
        <v>-0.082</v>
      </c>
      <c r="GV7" s="5">
        <v>0.05</v>
      </c>
      <c r="GW7" s="5">
        <v>0.04</v>
      </c>
      <c r="GX7" s="5">
        <v>0.023</v>
      </c>
      <c r="GY7" s="5">
        <v>0.016</v>
      </c>
      <c r="GZ7" s="5">
        <v>0.014</v>
      </c>
      <c r="HA7" s="5">
        <v>0.014</v>
      </c>
      <c r="HB7" s="5">
        <v>0.014</v>
      </c>
      <c r="HC7" s="4"/>
      <c r="HD7" s="4"/>
      <c r="HE7" s="24"/>
      <c r="HF7" s="24"/>
      <c r="HG7" s="24"/>
      <c r="HH7" s="24"/>
      <c r="HI7" s="24"/>
      <c r="HJ7" s="24"/>
      <c r="HK7" s="24"/>
      <c r="HL7" s="4"/>
    </row>
    <row r="8" ht="14.25" customHeight="1">
      <c r="DW8" s="4"/>
      <c r="DX8" s="4"/>
      <c r="DY8" s="4"/>
      <c r="DZ8" s="4"/>
      <c r="EA8" s="4"/>
      <c r="EB8" s="4"/>
      <c r="EC8" s="4" t="s">
        <v>2</v>
      </c>
      <c r="ED8" s="4"/>
      <c r="EE8" s="4"/>
      <c r="EF8" s="4"/>
      <c r="EG8" s="4"/>
      <c r="EH8" s="4"/>
      <c r="EI8" s="4"/>
      <c r="GU8" s="4"/>
      <c r="GV8" s="4"/>
      <c r="GW8" s="4"/>
      <c r="GX8" s="4"/>
      <c r="GY8" s="4"/>
      <c r="GZ8" s="4"/>
      <c r="HA8" s="4"/>
      <c r="HB8" s="4"/>
      <c r="HC8" s="4"/>
      <c r="HE8" s="9"/>
      <c r="HF8" s="25"/>
      <c r="HG8" s="11"/>
      <c r="HH8" s="11"/>
      <c r="HI8" s="11"/>
      <c r="HJ8" s="11"/>
      <c r="HK8" s="11"/>
      <c r="HL8" s="4"/>
    </row>
    <row r="9" ht="14.25" customHeight="1">
      <c r="A9" s="7" t="s">
        <v>76</v>
      </c>
      <c r="D9" s="5">
        <v>0.08616217435434759</v>
      </c>
      <c r="E9" s="5">
        <v>-0.03262901048696916</v>
      </c>
      <c r="F9" s="5">
        <v>0.03861325032870905</v>
      </c>
      <c r="G9" s="5">
        <v>0.03407740402004857</v>
      </c>
      <c r="H9" s="5">
        <v>-0.03745159275452842</v>
      </c>
      <c r="I9" s="5">
        <v>0.03262731661734932</v>
      </c>
      <c r="J9" s="5">
        <v>-0.015182364326471106</v>
      </c>
      <c r="K9" s="5">
        <v>-5.360014293371449E-4</v>
      </c>
      <c r="L9" s="5">
        <v>0.03210072015935441</v>
      </c>
      <c r="M9" s="5">
        <v>-0.01880489917109984</v>
      </c>
      <c r="N9" s="5">
        <v>0.018232253183709496</v>
      </c>
      <c r="O9" s="5">
        <v>0.09193124969042547</v>
      </c>
      <c r="P9" s="5">
        <v>-0.01528691313222953</v>
      </c>
      <c r="Q9" s="5">
        <v>0.005689146858301087</v>
      </c>
      <c r="R9" s="5">
        <v>0.03776653001397064</v>
      </c>
      <c r="S9" s="5">
        <v>-0.011233227401129944</v>
      </c>
      <c r="T9" s="5">
        <v>0.019329062785974155</v>
      </c>
      <c r="U9" s="5">
        <v>0.04882962184413935</v>
      </c>
      <c r="V9" s="5">
        <v>-0.031983966262343684</v>
      </c>
      <c r="W9" s="5">
        <v>0.07464360428753208</v>
      </c>
      <c r="X9" s="5">
        <v>0.02442401862406679</v>
      </c>
      <c r="Y9" s="5">
        <v>-0.02178469977470859</v>
      </c>
      <c r="Z9" s="5">
        <v>0.05331143732601686</v>
      </c>
      <c r="AA9" s="5">
        <v>0.0361631333776975</v>
      </c>
      <c r="AB9" s="5">
        <v>-0.030533790850872523</v>
      </c>
      <c r="AC9" s="5">
        <v>0.0024984384759525295</v>
      </c>
      <c r="AD9" s="5">
        <v>0.1102803738317757</v>
      </c>
      <c r="AE9" s="5">
        <v>-0.0613542835765058</v>
      </c>
      <c r="AF9" s="5">
        <v>0.03143229827167651</v>
      </c>
      <c r="AG9" s="5">
        <v>0.019426343245569352</v>
      </c>
      <c r="AH9" s="5">
        <v>-0.014662554489222764</v>
      </c>
      <c r="AI9" s="5">
        <v>0.06545079387284046</v>
      </c>
      <c r="AJ9" s="5">
        <v>-0.048612364806092136</v>
      </c>
      <c r="AK9" s="5">
        <v>0.04819817488657731</v>
      </c>
      <c r="AL9" s="5">
        <v>-0.015157250300347251</v>
      </c>
      <c r="AM9" s="5">
        <v>0.043898933859162464</v>
      </c>
      <c r="AN9" s="5">
        <v>0.05713233763946918</v>
      </c>
      <c r="AO9" s="5">
        <v>0.06976286380568764</v>
      </c>
      <c r="AP9" s="5">
        <v>-0.06510014863047632</v>
      </c>
      <c r="AQ9" s="5">
        <v>0.06860370045120068</v>
      </c>
      <c r="AR9" s="5">
        <v>-0.06266914150502288</v>
      </c>
      <c r="AS9" s="5">
        <v>0.0855277080750975</v>
      </c>
      <c r="AT9" s="5">
        <v>0.0362613490781485</v>
      </c>
      <c r="AU9" s="5">
        <v>0.01128789507632767</v>
      </c>
      <c r="AV9" s="5">
        <v>-0.027891463803550547</v>
      </c>
      <c r="AW9" s="5">
        <v>0.0067526005713738945</v>
      </c>
      <c r="AX9" s="5">
        <v>-0.058967291686467256</v>
      </c>
      <c r="AY9" s="5">
        <v>0.09594851965141109</v>
      </c>
      <c r="AZ9" s="5">
        <v>0.02726506753732326</v>
      </c>
      <c r="BA9" s="5">
        <v>-0.07598442886619079</v>
      </c>
      <c r="BB9" s="5">
        <v>-0.006012024048096049</v>
      </c>
      <c r="BC9" s="5">
        <v>0.09274193548387084</v>
      </c>
      <c r="BD9" s="5">
        <v>-0.07011070110701119</v>
      </c>
      <c r="BE9" s="5">
        <v>0.12698412698412703</v>
      </c>
      <c r="BF9" s="5">
        <v>0.03345070422535226</v>
      </c>
      <c r="BG9" s="5">
        <v>-0.08177172061328801</v>
      </c>
      <c r="BH9" s="5">
        <v>0.05380333951762519</v>
      </c>
      <c r="BI9" s="5">
        <v>-0.012323943661971775</v>
      </c>
      <c r="BJ9" s="5">
        <v>-0.06238859180035639</v>
      </c>
      <c r="BK9" s="5">
        <v>0.08935361216730009</v>
      </c>
      <c r="BL9" s="5">
        <v>0.038394415357766346</v>
      </c>
      <c r="BM9" s="5">
        <v>0.04705882352941171</v>
      </c>
      <c r="BN9" s="5">
        <v>0.0032102728731942527</v>
      </c>
      <c r="BO9" s="5">
        <v>-0.011200000000000107</v>
      </c>
      <c r="BP9" s="5">
        <v>-0.01779935275080891</v>
      </c>
      <c r="BQ9" s="5">
        <v>0.016474464579901146</v>
      </c>
      <c r="BR9" s="5">
        <v>0.00648298217179909</v>
      </c>
      <c r="BS9" s="5">
        <v>0.0096618357487922</v>
      </c>
      <c r="BT9" s="5">
        <v>0.025518341307814916</v>
      </c>
      <c r="BU9" s="5">
        <v>0.023328149300155435</v>
      </c>
      <c r="BV9" s="5">
        <v>0.022796352583586695</v>
      </c>
      <c r="BW9" s="5">
        <v>0.02526002971768212</v>
      </c>
      <c r="BX9" s="5">
        <v>0.017391304347826108</v>
      </c>
      <c r="BY9" s="5">
        <v>0.037037037037036966</v>
      </c>
      <c r="BZ9" s="5">
        <v>-0.020604395604395667</v>
      </c>
      <c r="CA9" s="5">
        <v>0.047685834502103966</v>
      </c>
      <c r="CB9" s="5">
        <v>-0.013386880856760368</v>
      </c>
      <c r="CC9" s="5">
        <v>0.04884667571234714</v>
      </c>
      <c r="CD9" s="5">
        <v>0.05692108667529124</v>
      </c>
      <c r="CE9" s="5">
        <v>-0.011015911872705125</v>
      </c>
      <c r="CF9" s="5">
        <v>-0.016089108910890996</v>
      </c>
      <c r="CG9" s="5">
        <v>-0.016352201257861666</v>
      </c>
      <c r="CH9" s="5">
        <v>0.02173913043478269</v>
      </c>
      <c r="CI9" s="5">
        <v>0.007509386733416717</v>
      </c>
      <c r="CJ9" s="5">
        <v>0.01739130434782613</v>
      </c>
      <c r="CK9" s="5">
        <v>0.018315018315018368</v>
      </c>
      <c r="CL9" s="5">
        <v>0.04316546762589909</v>
      </c>
      <c r="CM9" s="5">
        <v>-0.005747126436781549</v>
      </c>
      <c r="CN9" s="5">
        <v>0.04161849710982641</v>
      </c>
      <c r="CO9" s="5">
        <v>-0.06104328523862368</v>
      </c>
      <c r="CP9" s="5">
        <v>0.0981087470449175</v>
      </c>
      <c r="CQ9" s="5">
        <v>0.08288482238966602</v>
      </c>
      <c r="CR9" s="5">
        <v>-0.005964214711729481</v>
      </c>
      <c r="CS9" s="5">
        <v>-0.07099999999999988</v>
      </c>
      <c r="CT9" s="5">
        <v>-0.02045209903121656</v>
      </c>
      <c r="CU9" s="5">
        <v>0.0505494505494506</v>
      </c>
      <c r="CV9" s="5">
        <v>-0.15271966527196654</v>
      </c>
      <c r="CW9" s="5">
        <v>-0.21111111111111117</v>
      </c>
      <c r="CX9" s="5">
        <v>0.17840375586854462</v>
      </c>
      <c r="CY9" s="5">
        <v>0.15670650730411678</v>
      </c>
      <c r="CZ9" s="5">
        <v>-0.041331802525832205</v>
      </c>
      <c r="DA9" s="5">
        <v>0.1796407185628743</v>
      </c>
      <c r="DB9" s="5">
        <v>0.051776649746192775</v>
      </c>
      <c r="DC9" s="5">
        <v>0.12548262548262554</v>
      </c>
      <c r="DD9" s="5">
        <v>0.004288164665523024</v>
      </c>
      <c r="DE9" s="5">
        <v>0.026473099914603164</v>
      </c>
      <c r="DF9" s="5">
        <v>-0.020798668885191378</v>
      </c>
      <c r="DG9" s="5">
        <v>0.06966864910790142</v>
      </c>
      <c r="DH9" s="5">
        <v>0.06751389992057188</v>
      </c>
      <c r="DI9" s="5">
        <v>-0.029017857142857272</v>
      </c>
      <c r="DJ9" s="5">
        <v>-0.0597701149425287</v>
      </c>
      <c r="DK9" s="5">
        <v>-0.06519967400162997</v>
      </c>
      <c r="DL9" s="5">
        <v>0.07149084568439423</v>
      </c>
      <c r="DM9" s="5">
        <v>-0.009764035801464697</v>
      </c>
      <c r="DN9" s="5">
        <v>-0.025472473294987752</v>
      </c>
      <c r="DO9" s="5">
        <v>0.037942664418212334</v>
      </c>
      <c r="DP9" s="5">
        <v>0.05767668562144589</v>
      </c>
      <c r="DQ9" s="5">
        <v>-0.00384024577572953</v>
      </c>
      <c r="DR9" s="5">
        <v>0.07170393215111805</v>
      </c>
      <c r="DS9" s="5">
        <v>-0.17482014388489203</v>
      </c>
      <c r="DT9" s="5">
        <v>-0.20924149956408022</v>
      </c>
      <c r="DU9" s="5">
        <v>-0.10363836824696813</v>
      </c>
      <c r="DV9" s="5">
        <v>-0.05043050430504292</v>
      </c>
      <c r="DW9" s="5">
        <v>-0.15544041450777196</v>
      </c>
      <c r="DX9" s="5">
        <v>0.08435582822085894</v>
      </c>
      <c r="DY9" s="5">
        <v>0.5205091937765202</v>
      </c>
      <c r="DZ9" s="5">
        <v>0.08372093023255821</v>
      </c>
      <c r="EA9" s="5">
        <v>0.07296137339055796</v>
      </c>
      <c r="EB9" s="5">
        <v>0.13600000000000004</v>
      </c>
      <c r="EC9" s="5">
        <v>0.0856561745816649</v>
      </c>
      <c r="ED9" s="5">
        <v>0.0579152057510074</v>
      </c>
      <c r="EE9" s="5">
        <v>0.031140340643001897</v>
      </c>
      <c r="EF9" s="5">
        <v>0.0345622996112203</v>
      </c>
      <c r="EG9" s="5">
        <v>0.05578320216975689</v>
      </c>
      <c r="EH9" s="5">
        <v>0.0531187150812929</v>
      </c>
      <c r="EI9" s="5">
        <v>0.049878537067477795</v>
      </c>
      <c r="EJ9" s="5">
        <v>0.0551671400223311</v>
      </c>
      <c r="EK9" s="5">
        <v>0.0269571385179235</v>
      </c>
      <c r="EL9" s="5">
        <v>0.026714248060295497</v>
      </c>
      <c r="EM9" s="5">
        <v>0.07991952490657671</v>
      </c>
      <c r="EN9" s="5">
        <v>0.049801328654922095</v>
      </c>
      <c r="EO9" s="5">
        <v>0.0684353498941024</v>
      </c>
      <c r="EP9" s="5">
        <v>0.0623355624094208</v>
      </c>
      <c r="EQ9" s="5">
        <v>0.0665220075230069</v>
      </c>
      <c r="ER9" s="5">
        <v>0.0486142661591403</v>
      </c>
      <c r="ES9" s="5">
        <v>0.0525183358534413</v>
      </c>
      <c r="ET9" s="5">
        <v>0.0492123129139564</v>
      </c>
      <c r="EU9" s="5">
        <v>0.044913189703072794</v>
      </c>
      <c r="EV9" s="5">
        <v>0.0710945009049206</v>
      </c>
      <c r="EW9" s="5">
        <v>0.0610867761617023</v>
      </c>
      <c r="EX9" s="5">
        <v>0.0531675290605666</v>
      </c>
      <c r="EY9" s="5">
        <v>0.045113716279087904</v>
      </c>
      <c r="EZ9" s="5">
        <v>0.06344564864869269</v>
      </c>
      <c r="FA9" s="5">
        <v>0.0430084071012452</v>
      </c>
      <c r="FB9" s="5">
        <v>-0.00959867329154789</v>
      </c>
      <c r="FC9" s="5">
        <v>0.043567555213388995</v>
      </c>
      <c r="FD9" s="5">
        <v>0.0346429235913467</v>
      </c>
      <c r="FE9" s="5">
        <v>0.039785494684844595</v>
      </c>
      <c r="FF9" s="5">
        <v>0.0355000037634591</v>
      </c>
      <c r="FG9" s="5">
        <v>0.0157880122754374</v>
      </c>
      <c r="FH9" s="5">
        <v>0.010690127567096702</v>
      </c>
      <c r="FI9" s="5">
        <v>0.0250536136560163</v>
      </c>
      <c r="FJ9" s="5">
        <v>0.012408529155249799</v>
      </c>
      <c r="FK9" s="5">
        <v>0.015137078700601</v>
      </c>
      <c r="FL9" s="5">
        <v>0.016228216501733</v>
      </c>
      <c r="FM9" s="5">
        <v>0.023372356023937998</v>
      </c>
      <c r="FN9" s="5">
        <v>0.0256190869406679</v>
      </c>
      <c r="FO9" s="5">
        <v>0.0474318506127023</v>
      </c>
      <c r="FP9" s="5">
        <v>0.0434381995889572</v>
      </c>
      <c r="FQ9" s="5">
        <v>0.0292395174185515</v>
      </c>
      <c r="FR9" s="5">
        <v>0.010481802223058001</v>
      </c>
      <c r="FS9" s="5">
        <v>0.0159934649977294</v>
      </c>
      <c r="FT9" s="5">
        <v>-0.006286588469088739</v>
      </c>
      <c r="FU9" s="5">
        <v>0.0235837174390399</v>
      </c>
      <c r="FV9" s="5">
        <v>0.021066514052863</v>
      </c>
      <c r="FW9" s="5">
        <v>0.0141299601530085</v>
      </c>
      <c r="FX9" s="5">
        <v>0.0233632936675067</v>
      </c>
      <c r="FY9" s="5">
        <v>0.035886293379513996</v>
      </c>
      <c r="FZ9" s="5">
        <v>0.0342135235980006</v>
      </c>
      <c r="GA9" s="5">
        <v>0.0392371245576191</v>
      </c>
      <c r="GB9" s="5">
        <v>0.0198371211462977</v>
      </c>
      <c r="GC9" s="5">
        <v>0.011355417436923301</v>
      </c>
      <c r="GD9" s="5">
        <v>0.00823122997395163</v>
      </c>
      <c r="GE9" s="5">
        <v>0.0282979658451117</v>
      </c>
      <c r="GF9" s="5">
        <v>0.0166318213006728</v>
      </c>
      <c r="GG9" s="5">
        <v>0.0244934540139417</v>
      </c>
      <c r="GH9" s="5">
        <v>0.024247397856177598</v>
      </c>
      <c r="GI9" s="5">
        <v>0.0025493676773191997</v>
      </c>
      <c r="GJ9" s="5">
        <v>-0.028733254071544798</v>
      </c>
      <c r="GK9" s="5">
        <v>0.0194945890344995</v>
      </c>
      <c r="GL9" s="5">
        <v>0.0219267971584139</v>
      </c>
      <c r="GM9" s="5">
        <v>0.0031316447000194</v>
      </c>
      <c r="GN9" s="5">
        <v>0.00576323570182615</v>
      </c>
      <c r="GO9" s="5">
        <v>0.00956168723899057</v>
      </c>
      <c r="GP9" s="5">
        <v>0.0111291234158153</v>
      </c>
      <c r="GQ9" s="5">
        <v>0.0109546258424186</v>
      </c>
      <c r="GR9" s="5">
        <v>0.022914075239164902</v>
      </c>
      <c r="GS9" s="5">
        <v>0.0186509853990131</v>
      </c>
      <c r="GT9" s="5">
        <v>0.01842969128839</v>
      </c>
      <c r="GU9" s="5">
        <v>-0.0785526627243211</v>
      </c>
      <c r="GV9" s="26"/>
      <c r="GW9" s="26"/>
      <c r="GX9" s="26"/>
      <c r="GY9" s="26"/>
      <c r="GZ9" s="26"/>
      <c r="HA9" s="26"/>
      <c r="HB9" s="26"/>
      <c r="HC9" s="4"/>
      <c r="HE9" s="9"/>
      <c r="HF9" s="25"/>
      <c r="HG9" s="11"/>
      <c r="HH9" s="11"/>
      <c r="HI9" s="11"/>
      <c r="HJ9" s="11"/>
      <c r="HK9" s="11"/>
      <c r="HL9" s="4"/>
    </row>
    <row r="10" ht="14.25" customHeight="1">
      <c r="A10" s="4"/>
      <c r="B10" s="4"/>
      <c r="C10" s="4"/>
      <c r="D10" s="17">
        <f t="shared" ref="D10:GU10" si="2">D9+1</f>
        <v>1.086162174</v>
      </c>
      <c r="E10" s="17">
        <f t="shared" si="2"/>
        <v>0.9673709895</v>
      </c>
      <c r="F10" s="17">
        <f t="shared" si="2"/>
        <v>1.03861325</v>
      </c>
      <c r="G10" s="17">
        <f t="shared" si="2"/>
        <v>1.034077404</v>
      </c>
      <c r="H10" s="17">
        <f t="shared" si="2"/>
        <v>0.9625484072</v>
      </c>
      <c r="I10" s="17">
        <f t="shared" si="2"/>
        <v>1.032627317</v>
      </c>
      <c r="J10" s="17">
        <f t="shared" si="2"/>
        <v>0.9848176357</v>
      </c>
      <c r="K10" s="17">
        <f t="shared" si="2"/>
        <v>0.9994639986</v>
      </c>
      <c r="L10" s="17">
        <f t="shared" si="2"/>
        <v>1.03210072</v>
      </c>
      <c r="M10" s="17">
        <f t="shared" si="2"/>
        <v>0.9811951008</v>
      </c>
      <c r="N10" s="17">
        <f t="shared" si="2"/>
        <v>1.018232253</v>
      </c>
      <c r="O10" s="17">
        <f t="shared" si="2"/>
        <v>1.09193125</v>
      </c>
      <c r="P10" s="17">
        <f t="shared" si="2"/>
        <v>0.9847130869</v>
      </c>
      <c r="Q10" s="17">
        <f t="shared" si="2"/>
        <v>1.005689147</v>
      </c>
      <c r="R10" s="17">
        <f t="shared" si="2"/>
        <v>1.03776653</v>
      </c>
      <c r="S10" s="17">
        <f t="shared" si="2"/>
        <v>0.9887667726</v>
      </c>
      <c r="T10" s="17">
        <f t="shared" si="2"/>
        <v>1.019329063</v>
      </c>
      <c r="U10" s="17">
        <f t="shared" si="2"/>
        <v>1.048829622</v>
      </c>
      <c r="V10" s="17">
        <f t="shared" si="2"/>
        <v>0.9680160337</v>
      </c>
      <c r="W10" s="17">
        <f t="shared" si="2"/>
        <v>1.074643604</v>
      </c>
      <c r="X10" s="17">
        <f t="shared" si="2"/>
        <v>1.024424019</v>
      </c>
      <c r="Y10" s="17">
        <f t="shared" si="2"/>
        <v>0.9782153002</v>
      </c>
      <c r="Z10" s="17">
        <f t="shared" si="2"/>
        <v>1.053311437</v>
      </c>
      <c r="AA10" s="17">
        <f t="shared" si="2"/>
        <v>1.036163133</v>
      </c>
      <c r="AB10" s="17">
        <f t="shared" si="2"/>
        <v>0.9694662091</v>
      </c>
      <c r="AC10" s="17">
        <f t="shared" si="2"/>
        <v>1.002498438</v>
      </c>
      <c r="AD10" s="17">
        <f t="shared" si="2"/>
        <v>1.110280374</v>
      </c>
      <c r="AE10" s="17">
        <f t="shared" si="2"/>
        <v>0.9386457164</v>
      </c>
      <c r="AF10" s="17">
        <f t="shared" si="2"/>
        <v>1.031432298</v>
      </c>
      <c r="AG10" s="17">
        <f t="shared" si="2"/>
        <v>1.019426343</v>
      </c>
      <c r="AH10" s="17">
        <f t="shared" si="2"/>
        <v>0.9853374455</v>
      </c>
      <c r="AI10" s="17">
        <f t="shared" si="2"/>
        <v>1.065450794</v>
      </c>
      <c r="AJ10" s="17">
        <f t="shared" si="2"/>
        <v>0.9513876352</v>
      </c>
      <c r="AK10" s="17">
        <f t="shared" si="2"/>
        <v>1.048198175</v>
      </c>
      <c r="AL10" s="17">
        <f t="shared" si="2"/>
        <v>0.9848427497</v>
      </c>
      <c r="AM10" s="17">
        <f t="shared" si="2"/>
        <v>1.043898934</v>
      </c>
      <c r="AN10" s="17">
        <f t="shared" si="2"/>
        <v>1.057132338</v>
      </c>
      <c r="AO10" s="17">
        <f t="shared" si="2"/>
        <v>1.069762864</v>
      </c>
      <c r="AP10" s="17">
        <f t="shared" si="2"/>
        <v>0.9348998514</v>
      </c>
      <c r="AQ10" s="17">
        <f t="shared" si="2"/>
        <v>1.0686037</v>
      </c>
      <c r="AR10" s="17">
        <f t="shared" si="2"/>
        <v>0.9373308585</v>
      </c>
      <c r="AS10" s="17">
        <f t="shared" si="2"/>
        <v>1.085527708</v>
      </c>
      <c r="AT10" s="17">
        <f t="shared" si="2"/>
        <v>1.036261349</v>
      </c>
      <c r="AU10" s="17">
        <f t="shared" si="2"/>
        <v>1.011287895</v>
      </c>
      <c r="AV10" s="17">
        <f t="shared" si="2"/>
        <v>0.9721085362</v>
      </c>
      <c r="AW10" s="17">
        <f t="shared" si="2"/>
        <v>1.006752601</v>
      </c>
      <c r="AX10" s="17">
        <f t="shared" si="2"/>
        <v>0.9410327083</v>
      </c>
      <c r="AY10" s="17">
        <f t="shared" si="2"/>
        <v>1.09594852</v>
      </c>
      <c r="AZ10" s="17">
        <f t="shared" si="2"/>
        <v>1.027265068</v>
      </c>
      <c r="BA10" s="17">
        <f t="shared" si="2"/>
        <v>0.9240155711</v>
      </c>
      <c r="BB10" s="17">
        <f t="shared" si="2"/>
        <v>0.993987976</v>
      </c>
      <c r="BC10" s="17">
        <f t="shared" si="2"/>
        <v>1.092741935</v>
      </c>
      <c r="BD10" s="17">
        <f t="shared" si="2"/>
        <v>0.9298892989</v>
      </c>
      <c r="BE10" s="17">
        <f t="shared" si="2"/>
        <v>1.126984127</v>
      </c>
      <c r="BF10" s="17">
        <f t="shared" si="2"/>
        <v>1.033450704</v>
      </c>
      <c r="BG10" s="17">
        <f t="shared" si="2"/>
        <v>0.9182282794</v>
      </c>
      <c r="BH10" s="17">
        <f t="shared" si="2"/>
        <v>1.05380334</v>
      </c>
      <c r="BI10" s="17">
        <f t="shared" si="2"/>
        <v>0.9876760563</v>
      </c>
      <c r="BJ10" s="17">
        <f t="shared" si="2"/>
        <v>0.9376114082</v>
      </c>
      <c r="BK10" s="17">
        <f t="shared" si="2"/>
        <v>1.089353612</v>
      </c>
      <c r="BL10" s="17">
        <f t="shared" si="2"/>
        <v>1.038394415</v>
      </c>
      <c r="BM10" s="17">
        <f t="shared" si="2"/>
        <v>1.047058824</v>
      </c>
      <c r="BN10" s="17">
        <f t="shared" si="2"/>
        <v>1.003210273</v>
      </c>
      <c r="BO10" s="17">
        <f t="shared" si="2"/>
        <v>0.9888</v>
      </c>
      <c r="BP10" s="17">
        <f t="shared" si="2"/>
        <v>0.9822006472</v>
      </c>
      <c r="BQ10" s="17">
        <f t="shared" si="2"/>
        <v>1.016474465</v>
      </c>
      <c r="BR10" s="17">
        <f t="shared" si="2"/>
        <v>1.006482982</v>
      </c>
      <c r="BS10" s="17">
        <f t="shared" si="2"/>
        <v>1.009661836</v>
      </c>
      <c r="BT10" s="17">
        <f t="shared" si="2"/>
        <v>1.025518341</v>
      </c>
      <c r="BU10" s="17">
        <f t="shared" si="2"/>
        <v>1.023328149</v>
      </c>
      <c r="BV10" s="17">
        <f t="shared" si="2"/>
        <v>1.022796353</v>
      </c>
      <c r="BW10" s="17">
        <f t="shared" si="2"/>
        <v>1.02526003</v>
      </c>
      <c r="BX10" s="17">
        <f t="shared" si="2"/>
        <v>1.017391304</v>
      </c>
      <c r="BY10" s="17">
        <f t="shared" si="2"/>
        <v>1.037037037</v>
      </c>
      <c r="BZ10" s="17">
        <f t="shared" si="2"/>
        <v>0.9793956044</v>
      </c>
      <c r="CA10" s="17">
        <f t="shared" si="2"/>
        <v>1.047685835</v>
      </c>
      <c r="CB10" s="17">
        <f t="shared" si="2"/>
        <v>0.9866131191</v>
      </c>
      <c r="CC10" s="17">
        <f t="shared" si="2"/>
        <v>1.048846676</v>
      </c>
      <c r="CD10" s="17">
        <f t="shared" si="2"/>
        <v>1.056921087</v>
      </c>
      <c r="CE10" s="17">
        <f t="shared" si="2"/>
        <v>0.9889840881</v>
      </c>
      <c r="CF10" s="17">
        <f t="shared" si="2"/>
        <v>0.9839108911</v>
      </c>
      <c r="CG10" s="17">
        <f t="shared" si="2"/>
        <v>0.9836477987</v>
      </c>
      <c r="CH10" s="17">
        <f t="shared" si="2"/>
        <v>1.02173913</v>
      </c>
      <c r="CI10" s="17">
        <f t="shared" si="2"/>
        <v>1.007509387</v>
      </c>
      <c r="CJ10" s="17">
        <f t="shared" si="2"/>
        <v>1.017391304</v>
      </c>
      <c r="CK10" s="17">
        <f t="shared" si="2"/>
        <v>1.018315018</v>
      </c>
      <c r="CL10" s="17">
        <f t="shared" si="2"/>
        <v>1.043165468</v>
      </c>
      <c r="CM10" s="17">
        <f t="shared" si="2"/>
        <v>0.9942528736</v>
      </c>
      <c r="CN10" s="17">
        <f t="shared" si="2"/>
        <v>1.041618497</v>
      </c>
      <c r="CO10" s="17">
        <f t="shared" si="2"/>
        <v>0.9389567148</v>
      </c>
      <c r="CP10" s="17">
        <f t="shared" si="2"/>
        <v>1.098108747</v>
      </c>
      <c r="CQ10" s="17">
        <f t="shared" si="2"/>
        <v>1.082884822</v>
      </c>
      <c r="CR10" s="17">
        <f t="shared" si="2"/>
        <v>0.9940357853</v>
      </c>
      <c r="CS10" s="17">
        <f t="shared" si="2"/>
        <v>0.929</v>
      </c>
      <c r="CT10" s="17">
        <f t="shared" si="2"/>
        <v>0.979547901</v>
      </c>
      <c r="CU10" s="17">
        <f t="shared" si="2"/>
        <v>1.050549451</v>
      </c>
      <c r="CV10" s="17">
        <f t="shared" si="2"/>
        <v>0.8472803347</v>
      </c>
      <c r="CW10" s="17">
        <f t="shared" si="2"/>
        <v>0.7888888889</v>
      </c>
      <c r="CX10" s="17">
        <f t="shared" si="2"/>
        <v>1.178403756</v>
      </c>
      <c r="CY10" s="17">
        <f t="shared" si="2"/>
        <v>1.156706507</v>
      </c>
      <c r="CZ10" s="17">
        <f t="shared" si="2"/>
        <v>0.9586681975</v>
      </c>
      <c r="DA10" s="17">
        <f t="shared" si="2"/>
        <v>1.179640719</v>
      </c>
      <c r="DB10" s="17">
        <f t="shared" si="2"/>
        <v>1.05177665</v>
      </c>
      <c r="DC10" s="17">
        <f t="shared" si="2"/>
        <v>1.125482625</v>
      </c>
      <c r="DD10" s="17">
        <f t="shared" si="2"/>
        <v>1.004288165</v>
      </c>
      <c r="DE10" s="17">
        <f t="shared" si="2"/>
        <v>1.0264731</v>
      </c>
      <c r="DF10" s="17">
        <f t="shared" si="2"/>
        <v>0.9792013311</v>
      </c>
      <c r="DG10" s="17">
        <f t="shared" si="2"/>
        <v>1.069668649</v>
      </c>
      <c r="DH10" s="17">
        <f t="shared" si="2"/>
        <v>1.0675139</v>
      </c>
      <c r="DI10" s="17">
        <f t="shared" si="2"/>
        <v>0.9709821429</v>
      </c>
      <c r="DJ10" s="17">
        <f t="shared" si="2"/>
        <v>0.9402298851</v>
      </c>
      <c r="DK10" s="17">
        <f t="shared" si="2"/>
        <v>0.934800326</v>
      </c>
      <c r="DL10" s="17">
        <f t="shared" si="2"/>
        <v>1.071490846</v>
      </c>
      <c r="DM10" s="17">
        <f t="shared" si="2"/>
        <v>0.9902359642</v>
      </c>
      <c r="DN10" s="17">
        <f t="shared" si="2"/>
        <v>0.9745275267</v>
      </c>
      <c r="DO10" s="17">
        <f t="shared" si="2"/>
        <v>1.037942664</v>
      </c>
      <c r="DP10" s="17">
        <f t="shared" si="2"/>
        <v>1.057676686</v>
      </c>
      <c r="DQ10" s="17">
        <f t="shared" si="2"/>
        <v>0.9961597542</v>
      </c>
      <c r="DR10" s="17">
        <f t="shared" si="2"/>
        <v>1.071703932</v>
      </c>
      <c r="DS10" s="17">
        <f t="shared" si="2"/>
        <v>0.8251798561</v>
      </c>
      <c r="DT10" s="17">
        <f t="shared" si="2"/>
        <v>0.7907585004</v>
      </c>
      <c r="DU10" s="17">
        <f t="shared" si="2"/>
        <v>0.8963616318</v>
      </c>
      <c r="DV10" s="17">
        <f t="shared" si="2"/>
        <v>0.9495694957</v>
      </c>
      <c r="DW10" s="17">
        <f t="shared" si="2"/>
        <v>0.8445595855</v>
      </c>
      <c r="DX10" s="17">
        <f t="shared" si="2"/>
        <v>1.084355828</v>
      </c>
      <c r="DY10" s="17">
        <f t="shared" si="2"/>
        <v>1.520509194</v>
      </c>
      <c r="DZ10" s="17">
        <f t="shared" si="2"/>
        <v>1.08372093</v>
      </c>
      <c r="EA10" s="17">
        <f t="shared" si="2"/>
        <v>1.072961373</v>
      </c>
      <c r="EB10" s="17">
        <f t="shared" si="2"/>
        <v>1.136</v>
      </c>
      <c r="EC10" s="17">
        <f t="shared" si="2"/>
        <v>1.085656175</v>
      </c>
      <c r="ED10" s="17">
        <f t="shared" si="2"/>
        <v>1.057915206</v>
      </c>
      <c r="EE10" s="17">
        <f t="shared" si="2"/>
        <v>1.031140341</v>
      </c>
      <c r="EF10" s="17">
        <f t="shared" si="2"/>
        <v>1.0345623</v>
      </c>
      <c r="EG10" s="17">
        <f t="shared" si="2"/>
        <v>1.055783202</v>
      </c>
      <c r="EH10" s="17">
        <f t="shared" si="2"/>
        <v>1.053118715</v>
      </c>
      <c r="EI10" s="17">
        <f t="shared" si="2"/>
        <v>1.049878537</v>
      </c>
      <c r="EJ10" s="17">
        <f t="shared" si="2"/>
        <v>1.05516714</v>
      </c>
      <c r="EK10" s="17">
        <f t="shared" si="2"/>
        <v>1.026957139</v>
      </c>
      <c r="EL10" s="17">
        <f t="shared" si="2"/>
        <v>1.026714248</v>
      </c>
      <c r="EM10" s="17">
        <f t="shared" si="2"/>
        <v>1.079919525</v>
      </c>
      <c r="EN10" s="17">
        <f t="shared" si="2"/>
        <v>1.049801329</v>
      </c>
      <c r="EO10" s="17">
        <f t="shared" si="2"/>
        <v>1.06843535</v>
      </c>
      <c r="EP10" s="17">
        <f t="shared" si="2"/>
        <v>1.062335562</v>
      </c>
      <c r="EQ10" s="17">
        <f t="shared" si="2"/>
        <v>1.066522008</v>
      </c>
      <c r="ER10" s="17">
        <f t="shared" si="2"/>
        <v>1.048614266</v>
      </c>
      <c r="ES10" s="17">
        <f t="shared" si="2"/>
        <v>1.052518336</v>
      </c>
      <c r="ET10" s="17">
        <f t="shared" si="2"/>
        <v>1.049212313</v>
      </c>
      <c r="EU10" s="17">
        <f t="shared" si="2"/>
        <v>1.04491319</v>
      </c>
      <c r="EV10" s="17">
        <f t="shared" si="2"/>
        <v>1.071094501</v>
      </c>
      <c r="EW10" s="17">
        <f t="shared" si="2"/>
        <v>1.061086776</v>
      </c>
      <c r="EX10" s="17">
        <f t="shared" si="2"/>
        <v>1.053167529</v>
      </c>
      <c r="EY10" s="17">
        <f t="shared" si="2"/>
        <v>1.045113716</v>
      </c>
      <c r="EZ10" s="17">
        <f t="shared" si="2"/>
        <v>1.063445649</v>
      </c>
      <c r="FA10" s="17">
        <f t="shared" si="2"/>
        <v>1.043008407</v>
      </c>
      <c r="FB10" s="17">
        <f t="shared" si="2"/>
        <v>0.9904013267</v>
      </c>
      <c r="FC10" s="17">
        <f t="shared" si="2"/>
        <v>1.043567555</v>
      </c>
      <c r="FD10" s="17">
        <f t="shared" si="2"/>
        <v>1.034642924</v>
      </c>
      <c r="FE10" s="17">
        <f t="shared" si="2"/>
        <v>1.039785495</v>
      </c>
      <c r="FF10" s="17">
        <f t="shared" si="2"/>
        <v>1.035500004</v>
      </c>
      <c r="FG10" s="17">
        <f t="shared" si="2"/>
        <v>1.015788012</v>
      </c>
      <c r="FH10" s="17">
        <f t="shared" si="2"/>
        <v>1.010690128</v>
      </c>
      <c r="FI10" s="17">
        <f t="shared" si="2"/>
        <v>1.025053614</v>
      </c>
      <c r="FJ10" s="17">
        <f t="shared" si="2"/>
        <v>1.012408529</v>
      </c>
      <c r="FK10" s="17">
        <f t="shared" si="2"/>
        <v>1.015137079</v>
      </c>
      <c r="FL10" s="17">
        <f t="shared" si="2"/>
        <v>1.016228217</v>
      </c>
      <c r="FM10" s="17">
        <f t="shared" si="2"/>
        <v>1.023372356</v>
      </c>
      <c r="FN10" s="17">
        <f t="shared" si="2"/>
        <v>1.025619087</v>
      </c>
      <c r="FO10" s="17">
        <f t="shared" si="2"/>
        <v>1.047431851</v>
      </c>
      <c r="FP10" s="17">
        <f t="shared" si="2"/>
        <v>1.0434382</v>
      </c>
      <c r="FQ10" s="17">
        <f t="shared" si="2"/>
        <v>1.029239517</v>
      </c>
      <c r="FR10" s="17">
        <f t="shared" si="2"/>
        <v>1.010481802</v>
      </c>
      <c r="FS10" s="17">
        <f t="shared" si="2"/>
        <v>1.015993465</v>
      </c>
      <c r="FT10" s="17">
        <f t="shared" si="2"/>
        <v>0.9937134115</v>
      </c>
      <c r="FU10" s="17">
        <f t="shared" si="2"/>
        <v>1.023583717</v>
      </c>
      <c r="FV10" s="17">
        <f t="shared" si="2"/>
        <v>1.021066514</v>
      </c>
      <c r="FW10" s="17">
        <f t="shared" si="2"/>
        <v>1.01412996</v>
      </c>
      <c r="FX10" s="17">
        <f t="shared" si="2"/>
        <v>1.023363294</v>
      </c>
      <c r="FY10" s="17">
        <f t="shared" si="2"/>
        <v>1.035886293</v>
      </c>
      <c r="FZ10" s="17">
        <f t="shared" si="2"/>
        <v>1.034213524</v>
      </c>
      <c r="GA10" s="17">
        <f t="shared" si="2"/>
        <v>1.039237125</v>
      </c>
      <c r="GB10" s="17">
        <f t="shared" si="2"/>
        <v>1.019837121</v>
      </c>
      <c r="GC10" s="17">
        <f t="shared" si="2"/>
        <v>1.011355417</v>
      </c>
      <c r="GD10" s="17">
        <f t="shared" si="2"/>
        <v>1.00823123</v>
      </c>
      <c r="GE10" s="17">
        <f t="shared" si="2"/>
        <v>1.028297966</v>
      </c>
      <c r="GF10" s="17">
        <f t="shared" si="2"/>
        <v>1.016631821</v>
      </c>
      <c r="GG10" s="17">
        <f t="shared" si="2"/>
        <v>1.024493454</v>
      </c>
      <c r="GH10" s="17">
        <f t="shared" si="2"/>
        <v>1.024247398</v>
      </c>
      <c r="GI10" s="17">
        <f t="shared" si="2"/>
        <v>1.002549368</v>
      </c>
      <c r="GJ10" s="17">
        <f t="shared" si="2"/>
        <v>0.9712667459</v>
      </c>
      <c r="GK10" s="17">
        <f t="shared" si="2"/>
        <v>1.019494589</v>
      </c>
      <c r="GL10" s="17">
        <f t="shared" si="2"/>
        <v>1.021926797</v>
      </c>
      <c r="GM10" s="17">
        <f t="shared" si="2"/>
        <v>1.003131645</v>
      </c>
      <c r="GN10" s="17">
        <f t="shared" si="2"/>
        <v>1.005763236</v>
      </c>
      <c r="GO10" s="17">
        <f t="shared" si="2"/>
        <v>1.009561687</v>
      </c>
      <c r="GP10" s="17">
        <f t="shared" si="2"/>
        <v>1.011129123</v>
      </c>
      <c r="GQ10" s="17">
        <f t="shared" si="2"/>
        <v>1.010954626</v>
      </c>
      <c r="GR10" s="17">
        <f t="shared" si="2"/>
        <v>1.022914075</v>
      </c>
      <c r="GS10" s="17">
        <f t="shared" si="2"/>
        <v>1.018650985</v>
      </c>
      <c r="GT10" s="17">
        <f t="shared" si="2"/>
        <v>1.018429691</v>
      </c>
      <c r="GU10" s="17">
        <f t="shared" si="2"/>
        <v>0.9214473373</v>
      </c>
      <c r="GV10" s="17"/>
      <c r="GW10" s="17"/>
      <c r="GX10" s="17"/>
      <c r="GY10" s="17"/>
      <c r="GZ10" s="17"/>
      <c r="HA10" s="17"/>
      <c r="HB10" s="17"/>
      <c r="HC10" s="4"/>
      <c r="HD10" s="4"/>
      <c r="HE10" s="9"/>
      <c r="HF10" s="25"/>
      <c r="HG10" s="11"/>
      <c r="HH10" s="11"/>
      <c r="HI10" s="11"/>
      <c r="HJ10" s="11"/>
      <c r="HK10" s="11"/>
      <c r="HL10" s="4"/>
    </row>
    <row r="11" ht="14.25" customHeight="1">
      <c r="A11" s="1" t="s">
        <v>0</v>
      </c>
      <c r="B11" s="3">
        <v>1895.0</v>
      </c>
      <c r="C11" s="3">
        <v>1896.0</v>
      </c>
      <c r="D11" s="3">
        <v>1897.0</v>
      </c>
      <c r="E11" s="3">
        <v>1898.0</v>
      </c>
      <c r="F11" s="3">
        <v>1899.0</v>
      </c>
      <c r="G11" s="3">
        <v>1900.0</v>
      </c>
      <c r="H11" s="3">
        <v>1901.0</v>
      </c>
      <c r="I11" s="3">
        <v>1902.0</v>
      </c>
      <c r="J11" s="3">
        <v>1903.0</v>
      </c>
      <c r="K11" s="3">
        <v>1904.0</v>
      </c>
      <c r="L11" s="3">
        <v>1905.0</v>
      </c>
      <c r="M11" s="3">
        <v>1906.0</v>
      </c>
      <c r="N11" s="3">
        <v>1907.0</v>
      </c>
      <c r="O11" s="3">
        <v>1908.0</v>
      </c>
      <c r="P11" s="3">
        <v>1909.0</v>
      </c>
      <c r="Q11" s="3">
        <v>1910.0</v>
      </c>
      <c r="R11" s="3">
        <v>1911.0</v>
      </c>
      <c r="S11" s="3">
        <v>1912.0</v>
      </c>
      <c r="T11" s="3">
        <v>1913.0</v>
      </c>
      <c r="U11" s="3">
        <v>1914.0</v>
      </c>
      <c r="V11" s="3">
        <v>1915.0</v>
      </c>
      <c r="W11" s="3">
        <v>1916.0</v>
      </c>
      <c r="X11" s="3">
        <v>1917.0</v>
      </c>
      <c r="Y11" s="3">
        <v>1918.0</v>
      </c>
      <c r="Z11" s="3">
        <v>1919.0</v>
      </c>
      <c r="AA11" s="3">
        <v>1920.0</v>
      </c>
      <c r="AB11" s="3">
        <v>1921.0</v>
      </c>
      <c r="AC11" s="3">
        <v>1922.0</v>
      </c>
      <c r="AD11" s="3">
        <v>1923.0</v>
      </c>
      <c r="AE11" s="3">
        <v>1924.0</v>
      </c>
      <c r="AF11" s="3">
        <v>1925.0</v>
      </c>
      <c r="AG11" s="3">
        <v>1926.0</v>
      </c>
      <c r="AH11" s="3">
        <v>1927.0</v>
      </c>
      <c r="AI11" s="3">
        <v>1928.0</v>
      </c>
      <c r="AJ11" s="3">
        <v>1929.0</v>
      </c>
      <c r="AK11" s="3">
        <v>1930.0</v>
      </c>
      <c r="AL11" s="3">
        <v>1931.0</v>
      </c>
      <c r="AM11" s="3">
        <v>1932.0</v>
      </c>
      <c r="AN11" s="3">
        <v>1933.0</v>
      </c>
      <c r="AO11" s="3">
        <v>1934.0</v>
      </c>
      <c r="AP11" s="3">
        <v>1935.0</v>
      </c>
      <c r="AQ11" s="3">
        <v>1936.0</v>
      </c>
      <c r="AR11" s="3">
        <v>1937.0</v>
      </c>
      <c r="AS11" s="3">
        <v>1938.0</v>
      </c>
      <c r="AT11" s="3">
        <v>1939.0</v>
      </c>
      <c r="AU11" s="3">
        <v>1940.0</v>
      </c>
      <c r="AV11" s="3">
        <v>1941.0</v>
      </c>
      <c r="AW11" s="3">
        <v>1942.0</v>
      </c>
      <c r="AX11" s="3">
        <v>1943.0</v>
      </c>
      <c r="AY11" s="3">
        <v>1944.0</v>
      </c>
      <c r="AZ11" s="3">
        <v>1945.0</v>
      </c>
      <c r="BA11" s="3">
        <v>1946.0</v>
      </c>
      <c r="BB11" s="3">
        <v>1947.0</v>
      </c>
      <c r="BC11" s="3">
        <v>1948.0</v>
      </c>
      <c r="BD11" s="3">
        <v>1949.0</v>
      </c>
      <c r="BE11" s="3">
        <v>1950.0</v>
      </c>
      <c r="BF11" s="3">
        <v>1951.0</v>
      </c>
      <c r="BG11" s="3">
        <v>1952.0</v>
      </c>
      <c r="BH11" s="3">
        <v>1953.0</v>
      </c>
      <c r="BI11" s="3">
        <v>1954.0</v>
      </c>
      <c r="BJ11" s="3">
        <v>1955.0</v>
      </c>
      <c r="BK11" s="3">
        <v>1956.0</v>
      </c>
      <c r="BL11" s="3">
        <v>1957.0</v>
      </c>
      <c r="BM11" s="3">
        <v>1958.0</v>
      </c>
      <c r="BN11" s="3">
        <v>1959.0</v>
      </c>
      <c r="BO11" s="3">
        <v>1960.0</v>
      </c>
      <c r="BP11" s="3">
        <v>1961.0</v>
      </c>
      <c r="BQ11" s="3">
        <v>1962.0</v>
      </c>
      <c r="BR11" s="3">
        <v>1963.0</v>
      </c>
      <c r="BS11" s="3">
        <v>1964.0</v>
      </c>
      <c r="BT11" s="3">
        <v>1965.0</v>
      </c>
      <c r="BU11" s="3">
        <v>1966.0</v>
      </c>
      <c r="BV11" s="3">
        <v>1967.0</v>
      </c>
      <c r="BW11" s="3">
        <v>1968.0</v>
      </c>
      <c r="BX11" s="3">
        <v>1969.0</v>
      </c>
      <c r="BY11" s="3">
        <v>1970.0</v>
      </c>
      <c r="BZ11" s="3">
        <v>1971.0</v>
      </c>
      <c r="CA11" s="3">
        <v>1972.0</v>
      </c>
      <c r="CB11" s="3">
        <v>1973.0</v>
      </c>
      <c r="CC11" s="3">
        <v>1974.0</v>
      </c>
      <c r="CD11" s="3">
        <v>1975.0</v>
      </c>
      <c r="CE11" s="3">
        <v>1976.0</v>
      </c>
      <c r="CF11" s="3">
        <v>1977.0</v>
      </c>
      <c r="CG11" s="3">
        <v>1978.0</v>
      </c>
      <c r="CH11" s="3">
        <v>1979.0</v>
      </c>
      <c r="CI11" s="3">
        <v>1980.0</v>
      </c>
      <c r="CJ11" s="3">
        <v>1981.0</v>
      </c>
      <c r="CK11" s="3">
        <v>1982.0</v>
      </c>
      <c r="CL11" s="3">
        <v>1983.0</v>
      </c>
      <c r="CM11" s="3">
        <v>1984.0</v>
      </c>
      <c r="CN11" s="3">
        <v>1985.0</v>
      </c>
      <c r="CO11" s="3">
        <v>1986.0</v>
      </c>
      <c r="CP11" s="3">
        <v>1987.0</v>
      </c>
      <c r="CQ11" s="3">
        <v>1988.0</v>
      </c>
      <c r="CR11" s="3">
        <v>1989.0</v>
      </c>
      <c r="CS11" s="3">
        <v>1990.0</v>
      </c>
      <c r="CT11" s="3">
        <v>1991.0</v>
      </c>
      <c r="CU11" s="3">
        <v>1992.0</v>
      </c>
      <c r="CV11" s="3">
        <v>1993.0</v>
      </c>
      <c r="CW11" s="3">
        <v>1994.0</v>
      </c>
      <c r="CX11" s="3">
        <v>1995.0</v>
      </c>
      <c r="CY11" s="3">
        <v>1996.0</v>
      </c>
      <c r="CZ11" s="3">
        <v>1997.0</v>
      </c>
      <c r="DA11" s="3">
        <v>1998.0</v>
      </c>
      <c r="DB11" s="3">
        <v>1999.0</v>
      </c>
      <c r="DC11" s="3">
        <v>2000.0</v>
      </c>
      <c r="DD11" s="3">
        <v>2001.0</v>
      </c>
      <c r="DE11" s="3">
        <v>2002.0</v>
      </c>
      <c r="DF11" s="3">
        <v>2003.0</v>
      </c>
      <c r="DG11" s="3">
        <v>2004.0</v>
      </c>
      <c r="DH11" s="3">
        <v>2005.0</v>
      </c>
      <c r="DI11" s="3">
        <v>2006.0</v>
      </c>
      <c r="DJ11" s="3">
        <v>2007.0</v>
      </c>
      <c r="DK11" s="3">
        <v>2008.0</v>
      </c>
      <c r="DL11" s="3">
        <v>2009.0</v>
      </c>
      <c r="DM11" s="3">
        <v>2010.0</v>
      </c>
      <c r="DN11" s="3">
        <v>2011.0</v>
      </c>
      <c r="DO11" s="3">
        <v>2012.0</v>
      </c>
      <c r="DP11" s="3">
        <v>2013.0</v>
      </c>
      <c r="DQ11" s="3">
        <v>2014.0</v>
      </c>
      <c r="DR11" s="3">
        <v>2015.0</v>
      </c>
      <c r="DS11" s="3">
        <v>2016.0</v>
      </c>
      <c r="DT11" s="3">
        <v>2017.0</v>
      </c>
      <c r="DU11" s="3">
        <v>2018.0</v>
      </c>
      <c r="DV11" s="3">
        <v>2019.0</v>
      </c>
      <c r="DW11" s="3">
        <v>2020.0</v>
      </c>
      <c r="DX11" s="1">
        <v>2021.0</v>
      </c>
      <c r="DY11" s="3">
        <v>2022.0</v>
      </c>
      <c r="DZ11" s="1">
        <v>2023.0</v>
      </c>
      <c r="EA11" s="3">
        <v>2024.0</v>
      </c>
      <c r="EB11" s="1">
        <v>2025.0</v>
      </c>
      <c r="EC11" s="3">
        <v>2026.0</v>
      </c>
      <c r="ED11" s="1">
        <v>2027.0</v>
      </c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</row>
    <row r="12" ht="14.25" customHeight="1">
      <c r="A12" s="7" t="s">
        <v>1</v>
      </c>
      <c r="B12" s="5">
        <v>-0.020604395604395667</v>
      </c>
      <c r="C12" s="5">
        <v>0.047685834502103966</v>
      </c>
      <c r="D12" s="5">
        <v>-0.013386880856760368</v>
      </c>
      <c r="E12" s="5">
        <v>0.04884667571234714</v>
      </c>
      <c r="F12" s="5">
        <v>0.05692108667529124</v>
      </c>
      <c r="G12" s="5">
        <v>-0.011015911872705125</v>
      </c>
      <c r="H12" s="5">
        <v>-0.016089108910890996</v>
      </c>
      <c r="I12" s="5">
        <v>-0.016352201257861666</v>
      </c>
      <c r="J12" s="5">
        <v>0.02173913043478269</v>
      </c>
      <c r="K12" s="5">
        <v>0.007509386733416717</v>
      </c>
      <c r="L12" s="5">
        <v>0.01739130434782613</v>
      </c>
      <c r="M12" s="5">
        <v>0.018315018315018368</v>
      </c>
      <c r="N12" s="5">
        <v>0.04316546762589909</v>
      </c>
      <c r="O12" s="5">
        <v>-0.005747126436781549</v>
      </c>
      <c r="P12" s="5">
        <v>0.04161849710982641</v>
      </c>
      <c r="Q12" s="5">
        <v>-0.06104328523862368</v>
      </c>
      <c r="R12" s="5">
        <v>0.0981087470449175</v>
      </c>
      <c r="S12" s="5">
        <v>0.08288482238966602</v>
      </c>
      <c r="T12" s="5">
        <v>-0.005964214711729481</v>
      </c>
      <c r="U12" s="5">
        <v>-0.07099999999999988</v>
      </c>
      <c r="V12" s="5">
        <v>-0.02045209903121656</v>
      </c>
      <c r="W12" s="5">
        <v>0.0505494505494506</v>
      </c>
      <c r="X12" s="5">
        <v>-0.15271966527196654</v>
      </c>
      <c r="Y12" s="5">
        <v>-0.21111111111111117</v>
      </c>
      <c r="Z12" s="5">
        <v>0.17840375586854462</v>
      </c>
      <c r="AA12" s="5">
        <v>0.15670650730411678</v>
      </c>
      <c r="AB12" s="5">
        <v>-0.041331802525832205</v>
      </c>
      <c r="AC12" s="5">
        <v>0.1796407185628743</v>
      </c>
      <c r="AD12" s="5">
        <v>0.051776649746192775</v>
      </c>
      <c r="AE12" s="5">
        <v>0.12548262548262554</v>
      </c>
      <c r="AF12" s="5">
        <v>0.004288164665523024</v>
      </c>
      <c r="AG12" s="5">
        <v>0.026473099914603164</v>
      </c>
      <c r="AH12" s="5">
        <v>-0.020798668885191378</v>
      </c>
      <c r="AI12" s="5">
        <v>0.06966864910790142</v>
      </c>
      <c r="AJ12" s="5">
        <v>0.06751389992057188</v>
      </c>
      <c r="AK12" s="5">
        <v>-0.029017857142857272</v>
      </c>
      <c r="AL12" s="5">
        <v>-0.0597701149425287</v>
      </c>
      <c r="AM12" s="5">
        <v>-0.06519967400162997</v>
      </c>
      <c r="AN12" s="5">
        <v>0.07149084568439423</v>
      </c>
      <c r="AO12" s="5">
        <v>-0.009764035801464697</v>
      </c>
      <c r="AP12" s="5">
        <v>-0.025472473294987752</v>
      </c>
      <c r="AQ12" s="5">
        <v>0.037942664418212334</v>
      </c>
      <c r="AR12" s="5">
        <v>0.05767668562144589</v>
      </c>
      <c r="AS12" s="5">
        <v>-0.00384024577572953</v>
      </c>
      <c r="AT12" s="5">
        <v>0.07170393215111805</v>
      </c>
      <c r="AU12" s="5">
        <v>-0.17482014388489203</v>
      </c>
      <c r="AV12" s="5">
        <v>-0.20924149956408022</v>
      </c>
      <c r="AW12" s="5">
        <v>-0.10363836824696813</v>
      </c>
      <c r="AX12" s="5">
        <v>-0.05043050430504292</v>
      </c>
      <c r="AY12" s="5">
        <v>-0.15544041450777196</v>
      </c>
      <c r="AZ12" s="5">
        <v>0.08435582822085894</v>
      </c>
      <c r="BA12" s="5">
        <v>0.5205091937765202</v>
      </c>
      <c r="BB12" s="5">
        <v>0.08372093023255821</v>
      </c>
      <c r="BC12" s="5">
        <v>0.07296137339055796</v>
      </c>
      <c r="BD12" s="5">
        <v>0.13600000000000004</v>
      </c>
      <c r="BE12" s="5">
        <v>0.07465659211447352</v>
      </c>
      <c r="BF12" s="5">
        <v>0.061598606752172415</v>
      </c>
      <c r="BG12" s="5">
        <v>0.02654288814648359</v>
      </c>
      <c r="BH12" s="5">
        <v>0.028865481694806627</v>
      </c>
      <c r="BI12" s="5">
        <v>0.048506813686428854</v>
      </c>
      <c r="BJ12" s="5">
        <v>0.057415658816040736</v>
      </c>
      <c r="BK12" s="5">
        <v>0.05060598763945742</v>
      </c>
      <c r="BL12" s="5">
        <v>0.060211342193083287</v>
      </c>
      <c r="BM12" s="5">
        <v>0.025082867137448086</v>
      </c>
      <c r="BN12" s="5">
        <v>0.028622917505415922</v>
      </c>
      <c r="BO12" s="5">
        <v>0.07046694250816964</v>
      </c>
      <c r="BP12" s="5">
        <v>0.05555571676885978</v>
      </c>
      <c r="BQ12" s="5">
        <v>0.066481743156089</v>
      </c>
      <c r="BR12" s="5">
        <v>0.051949156692968186</v>
      </c>
      <c r="BS12" s="5">
        <v>0.06666666666666667</v>
      </c>
      <c r="BT12" s="5">
        <v>0.0486106006028082</v>
      </c>
      <c r="BU12" s="5">
        <v>0.0507715968242284</v>
      </c>
      <c r="BV12" s="5">
        <v>0.04621886408509875</v>
      </c>
      <c r="BW12" s="5">
        <v>0.044177050970607756</v>
      </c>
      <c r="BX12" s="5">
        <v>0.06930398288441829</v>
      </c>
      <c r="BY12" s="5">
        <v>0.057308845577211394</v>
      </c>
      <c r="BZ12" s="5">
        <v>0.04839050016121164</v>
      </c>
      <c r="CA12" s="5">
        <v>0.0444614406131502</v>
      </c>
      <c r="CB12" s="5">
        <v>0.05441458496488188</v>
      </c>
      <c r="CC12" s="5">
        <v>0.02930997931180689</v>
      </c>
      <c r="CD12" s="5">
        <v>-0.006968631216513355</v>
      </c>
      <c r="CE12" s="5">
        <v>0.04322663515976118</v>
      </c>
      <c r="CF12" s="5">
        <v>0.03732075916668266</v>
      </c>
      <c r="CG12" s="5">
        <v>0.02775644541963796</v>
      </c>
      <c r="CH12" s="5">
        <v>0.032084357927011205</v>
      </c>
      <c r="CI12" s="5">
        <v>0.014046263447191308</v>
      </c>
      <c r="CJ12" s="5">
        <v>0.010264659366424869</v>
      </c>
      <c r="CK12" s="5">
        <v>0.02514365369363934</v>
      </c>
      <c r="CL12" s="5">
        <v>0.01169571908441872</v>
      </c>
      <c r="CM12" s="5">
        <v>0.014693119285422756</v>
      </c>
      <c r="CN12" s="5">
        <v>0.014023801047652952</v>
      </c>
      <c r="CO12" s="5">
        <v>0.023736328870803198</v>
      </c>
      <c r="CP12" s="5">
        <v>0.02526697167110738</v>
      </c>
      <c r="CQ12" s="5">
        <v>0.04394443225726579</v>
      </c>
      <c r="CR12" s="5">
        <v>0.04056956975388203</v>
      </c>
      <c r="CS12" s="5">
        <v>0.026197507512851326</v>
      </c>
      <c r="CT12" s="5">
        <v>0.01211021530742368</v>
      </c>
      <c r="CU12" s="5">
        <v>0.019445763714476573</v>
      </c>
      <c r="CV12" s="5">
        <v>-0.009898145807769853</v>
      </c>
      <c r="CW12" s="5">
        <v>0.02081874143137173</v>
      </c>
      <c r="CX12" s="5">
        <v>0.02354024005027817</v>
      </c>
      <c r="CY12" s="5">
        <v>0.01094483866913416</v>
      </c>
      <c r="CZ12" s="5">
        <v>0.024013113328074362</v>
      </c>
      <c r="DA12" s="5">
        <v>0.025396883452960935</v>
      </c>
      <c r="DB12" s="5">
        <v>0.03304962990157936</v>
      </c>
      <c r="DC12" s="5">
        <v>0.03912832873355816</v>
      </c>
      <c r="DD12" s="5">
        <v>0.018498687647224194</v>
      </c>
      <c r="DE12" s="5">
        <v>0.010251514410392437</v>
      </c>
      <c r="DF12" s="5">
        <v>0.011027102260299085</v>
      </c>
      <c r="DG12" s="5">
        <v>0.023710001162594634</v>
      </c>
      <c r="DH12" s="5">
        <v>0.019000251200724422</v>
      </c>
      <c r="DI12" s="5">
        <v>0.02399996457242982</v>
      </c>
      <c r="DJ12" s="5">
        <v>0.022999955311901306</v>
      </c>
      <c r="DK12" s="5">
        <v>0.003000062002220807</v>
      </c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GV12" s="4"/>
      <c r="HE12" s="4"/>
      <c r="HF12" s="4"/>
      <c r="HG12" s="4"/>
      <c r="HH12" s="4"/>
      <c r="HI12" s="4"/>
      <c r="HJ12" s="4"/>
      <c r="HK12" s="4"/>
      <c r="HL12" s="4"/>
    </row>
    <row r="13" ht="14.25" customHeight="1">
      <c r="A13" s="7" t="s">
        <v>76</v>
      </c>
      <c r="B13" s="5">
        <v>-0.020604395604395667</v>
      </c>
      <c r="C13" s="5">
        <v>0.047685834502103966</v>
      </c>
      <c r="D13" s="5">
        <v>-0.013386880856760368</v>
      </c>
      <c r="E13" s="5">
        <v>0.04884667571234714</v>
      </c>
      <c r="F13" s="5">
        <v>0.05692108667529124</v>
      </c>
      <c r="G13" s="5">
        <v>-0.011015911872705125</v>
      </c>
      <c r="H13" s="5">
        <v>-0.016089108910890996</v>
      </c>
      <c r="I13" s="5">
        <v>-0.016352201257861666</v>
      </c>
      <c r="J13" s="5">
        <v>0.02173913043478269</v>
      </c>
      <c r="K13" s="5">
        <v>0.007509386733416717</v>
      </c>
      <c r="L13" s="5">
        <v>0.01739130434782613</v>
      </c>
      <c r="M13" s="5">
        <v>0.018315018315018368</v>
      </c>
      <c r="N13" s="5">
        <v>0.04316546762589909</v>
      </c>
      <c r="O13" s="5">
        <v>-0.005747126436781549</v>
      </c>
      <c r="P13" s="5">
        <v>0.04161849710982641</v>
      </c>
      <c r="Q13" s="5">
        <v>-0.06104328523862368</v>
      </c>
      <c r="R13" s="5">
        <v>0.0981087470449175</v>
      </c>
      <c r="S13" s="5">
        <v>0.08288482238966602</v>
      </c>
      <c r="T13" s="5">
        <v>-0.005964214711729481</v>
      </c>
      <c r="U13" s="5">
        <v>-0.07099999999999988</v>
      </c>
      <c r="V13" s="5">
        <v>-0.02045209903121656</v>
      </c>
      <c r="W13" s="5">
        <v>0.0505494505494506</v>
      </c>
      <c r="X13" s="5">
        <v>-0.15271966527196654</v>
      </c>
      <c r="Y13" s="5">
        <v>-0.21111111111111117</v>
      </c>
      <c r="Z13" s="5">
        <v>0.17840375586854462</v>
      </c>
      <c r="AA13" s="5">
        <v>0.15670650730411678</v>
      </c>
      <c r="AB13" s="5">
        <v>-0.041331802525832205</v>
      </c>
      <c r="AC13" s="5">
        <v>0.1796407185628743</v>
      </c>
      <c r="AD13" s="5">
        <v>0.051776649746192775</v>
      </c>
      <c r="AE13" s="5">
        <v>0.12548262548262554</v>
      </c>
      <c r="AF13" s="5">
        <v>0.004288164665523024</v>
      </c>
      <c r="AG13" s="5">
        <v>0.026473099914603164</v>
      </c>
      <c r="AH13" s="5">
        <v>-0.020798668885191378</v>
      </c>
      <c r="AI13" s="5">
        <v>0.06966864910790142</v>
      </c>
      <c r="AJ13" s="5">
        <v>0.06751389992057188</v>
      </c>
      <c r="AK13" s="5">
        <v>-0.029017857142857272</v>
      </c>
      <c r="AL13" s="5">
        <v>-0.0597701149425287</v>
      </c>
      <c r="AM13" s="5">
        <v>-0.06519967400162997</v>
      </c>
      <c r="AN13" s="5">
        <v>0.07149084568439423</v>
      </c>
      <c r="AO13" s="5">
        <v>-0.009764035801464697</v>
      </c>
      <c r="AP13" s="5">
        <v>-0.025472473294987752</v>
      </c>
      <c r="AQ13" s="5">
        <v>0.037942664418212334</v>
      </c>
      <c r="AR13" s="5">
        <v>0.05767668562144589</v>
      </c>
      <c r="AS13" s="5">
        <v>-0.00384024577572953</v>
      </c>
      <c r="AT13" s="5">
        <v>0.07170393215111805</v>
      </c>
      <c r="AU13" s="5">
        <v>-0.17482014388489203</v>
      </c>
      <c r="AV13" s="5">
        <v>-0.20924149956408022</v>
      </c>
      <c r="AW13" s="5">
        <v>-0.10363836824696813</v>
      </c>
      <c r="AX13" s="5">
        <v>-0.05043050430504292</v>
      </c>
      <c r="AY13" s="5">
        <v>-0.15544041450777196</v>
      </c>
      <c r="AZ13" s="5">
        <v>0.08435582822085894</v>
      </c>
      <c r="BA13" s="5">
        <v>0.5205091937765202</v>
      </c>
      <c r="BB13" s="5">
        <v>0.08372093023255821</v>
      </c>
      <c r="BC13" s="5">
        <v>0.07296137339055796</v>
      </c>
      <c r="BD13" s="5">
        <v>0.13600000000000004</v>
      </c>
      <c r="BE13" s="5">
        <v>0.0856561745816649</v>
      </c>
      <c r="BF13" s="5">
        <v>0.0579152057510074</v>
      </c>
      <c r="BG13" s="5">
        <v>0.031140340643001897</v>
      </c>
      <c r="BH13" s="5">
        <v>0.0345622996112203</v>
      </c>
      <c r="BI13" s="5">
        <v>0.05578320216975689</v>
      </c>
      <c r="BJ13" s="5">
        <v>0.0531187150812929</v>
      </c>
      <c r="BK13" s="5">
        <v>0.049878537067477795</v>
      </c>
      <c r="BL13" s="5">
        <v>0.0551671400223311</v>
      </c>
      <c r="BM13" s="5">
        <v>0.0269571385179235</v>
      </c>
      <c r="BN13" s="5">
        <v>0.026714248060295497</v>
      </c>
      <c r="BO13" s="5">
        <v>0.07991952490657671</v>
      </c>
      <c r="BP13" s="5">
        <v>0.049801328654922095</v>
      </c>
      <c r="BQ13" s="5">
        <v>0.0684353498941024</v>
      </c>
      <c r="BR13" s="5">
        <v>0.0623355624094208</v>
      </c>
      <c r="BS13" s="5">
        <v>0.0665220075230069</v>
      </c>
      <c r="BT13" s="5">
        <v>0.0486142661591403</v>
      </c>
      <c r="BU13" s="5">
        <v>0.0525183358534413</v>
      </c>
      <c r="BV13" s="5">
        <v>0.0492123129139564</v>
      </c>
      <c r="BW13" s="5">
        <v>0.044913189703072794</v>
      </c>
      <c r="BX13" s="5">
        <v>0.0710945009049206</v>
      </c>
      <c r="BY13" s="5">
        <v>0.0610867761617023</v>
      </c>
      <c r="BZ13" s="5">
        <v>0.0531675290605666</v>
      </c>
      <c r="CA13" s="5">
        <v>0.045113716279087904</v>
      </c>
      <c r="CB13" s="5">
        <v>0.06344564864869269</v>
      </c>
      <c r="CC13" s="5">
        <v>0.0430084071012452</v>
      </c>
      <c r="CD13" s="5">
        <v>-0.00959867329154789</v>
      </c>
      <c r="CE13" s="5">
        <v>0.043567555213388995</v>
      </c>
      <c r="CF13" s="5">
        <v>0.0346429235913467</v>
      </c>
      <c r="CG13" s="5">
        <v>0.039785494684844595</v>
      </c>
      <c r="CH13" s="5">
        <v>0.0355000037634591</v>
      </c>
      <c r="CI13" s="5">
        <v>0.0157880122754374</v>
      </c>
      <c r="CJ13" s="5">
        <v>0.010690127567096702</v>
      </c>
      <c r="CK13" s="5">
        <v>0.0250536136560163</v>
      </c>
      <c r="CL13" s="5">
        <v>0.012408529155249799</v>
      </c>
      <c r="CM13" s="5">
        <v>0.015137078700601</v>
      </c>
      <c r="CN13" s="5">
        <v>0.016228216501733</v>
      </c>
      <c r="CO13" s="5">
        <v>0.023372356023937998</v>
      </c>
      <c r="CP13" s="5">
        <v>0.0256190869406679</v>
      </c>
      <c r="CQ13" s="5">
        <v>0.0474318506127023</v>
      </c>
      <c r="CR13" s="5">
        <v>0.0434381995889572</v>
      </c>
      <c r="CS13" s="5">
        <v>0.0292395174185515</v>
      </c>
      <c r="CT13" s="5">
        <v>0.010481802223058001</v>
      </c>
      <c r="CU13" s="5">
        <v>0.0159934649977294</v>
      </c>
      <c r="CV13" s="5">
        <v>-0.006286588469088739</v>
      </c>
      <c r="CW13" s="5">
        <v>0.0235837174390399</v>
      </c>
      <c r="CX13" s="5">
        <v>0.021066514052863</v>
      </c>
      <c r="CY13" s="5">
        <v>0.0141299601530085</v>
      </c>
      <c r="CZ13" s="5">
        <v>0.0233632936675067</v>
      </c>
      <c r="DA13" s="5">
        <v>0.035886293379513996</v>
      </c>
      <c r="DB13" s="5">
        <v>0.0342135235980006</v>
      </c>
      <c r="DC13" s="5">
        <v>0.0392371245576191</v>
      </c>
      <c r="DD13" s="5">
        <v>0.0198371211462977</v>
      </c>
      <c r="DE13" s="5">
        <v>0.011355417436923301</v>
      </c>
      <c r="DF13" s="5">
        <v>0.00823122997395163</v>
      </c>
      <c r="DG13" s="5">
        <v>0.0282979658451117</v>
      </c>
      <c r="DH13" s="5">
        <v>0.0166318213006728</v>
      </c>
      <c r="DI13" s="5">
        <v>0.0244934540139417</v>
      </c>
      <c r="DJ13" s="5">
        <v>0.024247397856177598</v>
      </c>
      <c r="DK13" s="5">
        <v>0.0025493676773191997</v>
      </c>
      <c r="DL13" s="5">
        <v>-0.028733254071544798</v>
      </c>
      <c r="DM13" s="5">
        <v>0.0194945890344995</v>
      </c>
      <c r="DN13" s="5">
        <v>0.0219267971584139</v>
      </c>
      <c r="DO13" s="5">
        <v>0.0031316447000194</v>
      </c>
      <c r="DP13" s="5">
        <v>0.00576323570182615</v>
      </c>
      <c r="DQ13" s="5">
        <v>0.00956168723899057</v>
      </c>
      <c r="DR13" s="5">
        <v>0.0111291234158153</v>
      </c>
      <c r="DS13" s="5">
        <v>0.0109546258424186</v>
      </c>
      <c r="DT13" s="5">
        <v>0.022914075239164902</v>
      </c>
      <c r="DU13" s="5">
        <v>0.0186509853990131</v>
      </c>
      <c r="DV13" s="5">
        <v>0.01842969128839</v>
      </c>
      <c r="DW13" s="5">
        <v>-0.0785526627243211</v>
      </c>
      <c r="DX13" s="26"/>
      <c r="DY13" s="26"/>
      <c r="DZ13" s="26"/>
      <c r="EA13" s="26"/>
      <c r="EB13" s="26"/>
      <c r="EC13" s="26"/>
      <c r="ED13" s="26"/>
      <c r="EE13" s="4"/>
      <c r="EF13" s="4"/>
      <c r="EG13" s="4"/>
      <c r="EH13" s="4"/>
      <c r="EI13" s="4"/>
      <c r="GP13" s="6"/>
      <c r="GQ13" s="6"/>
      <c r="GR13" s="6"/>
      <c r="GS13" s="6"/>
      <c r="GT13" s="6"/>
      <c r="GU13" s="6"/>
      <c r="GV13" s="4"/>
      <c r="HE13" s="4"/>
      <c r="HF13" s="4"/>
      <c r="HG13" s="4"/>
      <c r="HH13" s="4"/>
      <c r="HI13" s="4"/>
      <c r="HJ13" s="4"/>
      <c r="HK13" s="4"/>
      <c r="HL13" s="4"/>
    </row>
    <row r="14" ht="14.25" customHeight="1">
      <c r="A14" s="7" t="s">
        <v>77</v>
      </c>
      <c r="B14" s="17">
        <f t="shared" ref="B14:DW14" si="3">B13+1</f>
        <v>0.9793956044</v>
      </c>
      <c r="C14" s="17">
        <f t="shared" si="3"/>
        <v>1.047685835</v>
      </c>
      <c r="D14" s="17">
        <f t="shared" si="3"/>
        <v>0.9866131191</v>
      </c>
      <c r="E14" s="17">
        <f t="shared" si="3"/>
        <v>1.048846676</v>
      </c>
      <c r="F14" s="17">
        <f t="shared" si="3"/>
        <v>1.056921087</v>
      </c>
      <c r="G14" s="17">
        <f t="shared" si="3"/>
        <v>0.9889840881</v>
      </c>
      <c r="H14" s="17">
        <f t="shared" si="3"/>
        <v>0.9839108911</v>
      </c>
      <c r="I14" s="17">
        <f t="shared" si="3"/>
        <v>0.9836477987</v>
      </c>
      <c r="J14" s="17">
        <f t="shared" si="3"/>
        <v>1.02173913</v>
      </c>
      <c r="K14" s="17">
        <f t="shared" si="3"/>
        <v>1.007509387</v>
      </c>
      <c r="L14" s="17">
        <f t="shared" si="3"/>
        <v>1.017391304</v>
      </c>
      <c r="M14" s="17">
        <f t="shared" si="3"/>
        <v>1.018315018</v>
      </c>
      <c r="N14" s="17">
        <f t="shared" si="3"/>
        <v>1.043165468</v>
      </c>
      <c r="O14" s="17">
        <f t="shared" si="3"/>
        <v>0.9942528736</v>
      </c>
      <c r="P14" s="17">
        <f t="shared" si="3"/>
        <v>1.041618497</v>
      </c>
      <c r="Q14" s="17">
        <f t="shared" si="3"/>
        <v>0.9389567148</v>
      </c>
      <c r="R14" s="17">
        <f t="shared" si="3"/>
        <v>1.098108747</v>
      </c>
      <c r="S14" s="17">
        <f t="shared" si="3"/>
        <v>1.082884822</v>
      </c>
      <c r="T14" s="17">
        <f t="shared" si="3"/>
        <v>0.9940357853</v>
      </c>
      <c r="U14" s="17">
        <f t="shared" si="3"/>
        <v>0.929</v>
      </c>
      <c r="V14" s="17">
        <f t="shared" si="3"/>
        <v>0.979547901</v>
      </c>
      <c r="W14" s="17">
        <f t="shared" si="3"/>
        <v>1.050549451</v>
      </c>
      <c r="X14" s="17">
        <f t="shared" si="3"/>
        <v>0.8472803347</v>
      </c>
      <c r="Y14" s="17">
        <f t="shared" si="3"/>
        <v>0.7888888889</v>
      </c>
      <c r="Z14" s="17">
        <f t="shared" si="3"/>
        <v>1.178403756</v>
      </c>
      <c r="AA14" s="17">
        <f t="shared" si="3"/>
        <v>1.156706507</v>
      </c>
      <c r="AB14" s="17">
        <f t="shared" si="3"/>
        <v>0.9586681975</v>
      </c>
      <c r="AC14" s="17">
        <f t="shared" si="3"/>
        <v>1.179640719</v>
      </c>
      <c r="AD14" s="17">
        <f t="shared" si="3"/>
        <v>1.05177665</v>
      </c>
      <c r="AE14" s="17">
        <f t="shared" si="3"/>
        <v>1.125482625</v>
      </c>
      <c r="AF14" s="17">
        <f t="shared" si="3"/>
        <v>1.004288165</v>
      </c>
      <c r="AG14" s="17">
        <f t="shared" si="3"/>
        <v>1.0264731</v>
      </c>
      <c r="AH14" s="17">
        <f t="shared" si="3"/>
        <v>0.9792013311</v>
      </c>
      <c r="AI14" s="17">
        <f t="shared" si="3"/>
        <v>1.069668649</v>
      </c>
      <c r="AJ14" s="17">
        <f t="shared" si="3"/>
        <v>1.0675139</v>
      </c>
      <c r="AK14" s="17">
        <f t="shared" si="3"/>
        <v>0.9709821429</v>
      </c>
      <c r="AL14" s="17">
        <f t="shared" si="3"/>
        <v>0.9402298851</v>
      </c>
      <c r="AM14" s="17">
        <f t="shared" si="3"/>
        <v>0.934800326</v>
      </c>
      <c r="AN14" s="17">
        <f t="shared" si="3"/>
        <v>1.071490846</v>
      </c>
      <c r="AO14" s="17">
        <f t="shared" si="3"/>
        <v>0.9902359642</v>
      </c>
      <c r="AP14" s="17">
        <f t="shared" si="3"/>
        <v>0.9745275267</v>
      </c>
      <c r="AQ14" s="17">
        <f t="shared" si="3"/>
        <v>1.037942664</v>
      </c>
      <c r="AR14" s="17">
        <f t="shared" si="3"/>
        <v>1.057676686</v>
      </c>
      <c r="AS14" s="17">
        <f t="shared" si="3"/>
        <v>0.9961597542</v>
      </c>
      <c r="AT14" s="17">
        <f t="shared" si="3"/>
        <v>1.071703932</v>
      </c>
      <c r="AU14" s="17">
        <f t="shared" si="3"/>
        <v>0.8251798561</v>
      </c>
      <c r="AV14" s="17">
        <f t="shared" si="3"/>
        <v>0.7907585004</v>
      </c>
      <c r="AW14" s="17">
        <f t="shared" si="3"/>
        <v>0.8963616318</v>
      </c>
      <c r="AX14" s="17">
        <f t="shared" si="3"/>
        <v>0.9495694957</v>
      </c>
      <c r="AY14" s="17">
        <f t="shared" si="3"/>
        <v>0.8445595855</v>
      </c>
      <c r="AZ14" s="17">
        <f t="shared" si="3"/>
        <v>1.084355828</v>
      </c>
      <c r="BA14" s="17">
        <f t="shared" si="3"/>
        <v>1.520509194</v>
      </c>
      <c r="BB14" s="17">
        <f t="shared" si="3"/>
        <v>1.08372093</v>
      </c>
      <c r="BC14" s="17">
        <f t="shared" si="3"/>
        <v>1.072961373</v>
      </c>
      <c r="BD14" s="17">
        <f t="shared" si="3"/>
        <v>1.136</v>
      </c>
      <c r="BE14" s="17">
        <f t="shared" si="3"/>
        <v>1.085656175</v>
      </c>
      <c r="BF14" s="17">
        <f t="shared" si="3"/>
        <v>1.057915206</v>
      </c>
      <c r="BG14" s="17">
        <f t="shared" si="3"/>
        <v>1.031140341</v>
      </c>
      <c r="BH14" s="17">
        <f t="shared" si="3"/>
        <v>1.0345623</v>
      </c>
      <c r="BI14" s="17">
        <f t="shared" si="3"/>
        <v>1.055783202</v>
      </c>
      <c r="BJ14" s="17">
        <f t="shared" si="3"/>
        <v>1.053118715</v>
      </c>
      <c r="BK14" s="17">
        <f t="shared" si="3"/>
        <v>1.049878537</v>
      </c>
      <c r="BL14" s="17">
        <f t="shared" si="3"/>
        <v>1.05516714</v>
      </c>
      <c r="BM14" s="17">
        <f t="shared" si="3"/>
        <v>1.026957139</v>
      </c>
      <c r="BN14" s="17">
        <f t="shared" si="3"/>
        <v>1.026714248</v>
      </c>
      <c r="BO14" s="17">
        <f t="shared" si="3"/>
        <v>1.079919525</v>
      </c>
      <c r="BP14" s="17">
        <f t="shared" si="3"/>
        <v>1.049801329</v>
      </c>
      <c r="BQ14" s="17">
        <f t="shared" si="3"/>
        <v>1.06843535</v>
      </c>
      <c r="BR14" s="17">
        <f t="shared" si="3"/>
        <v>1.062335562</v>
      </c>
      <c r="BS14" s="17">
        <f t="shared" si="3"/>
        <v>1.066522008</v>
      </c>
      <c r="BT14" s="17">
        <f t="shared" si="3"/>
        <v>1.048614266</v>
      </c>
      <c r="BU14" s="17">
        <f t="shared" si="3"/>
        <v>1.052518336</v>
      </c>
      <c r="BV14" s="17">
        <f t="shared" si="3"/>
        <v>1.049212313</v>
      </c>
      <c r="BW14" s="17">
        <f t="shared" si="3"/>
        <v>1.04491319</v>
      </c>
      <c r="BX14" s="17">
        <f t="shared" si="3"/>
        <v>1.071094501</v>
      </c>
      <c r="BY14" s="17">
        <f t="shared" si="3"/>
        <v>1.061086776</v>
      </c>
      <c r="BZ14" s="17">
        <f t="shared" si="3"/>
        <v>1.053167529</v>
      </c>
      <c r="CA14" s="17">
        <f t="shared" si="3"/>
        <v>1.045113716</v>
      </c>
      <c r="CB14" s="17">
        <f t="shared" si="3"/>
        <v>1.063445649</v>
      </c>
      <c r="CC14" s="17">
        <f t="shared" si="3"/>
        <v>1.043008407</v>
      </c>
      <c r="CD14" s="17">
        <f t="shared" si="3"/>
        <v>0.9904013267</v>
      </c>
      <c r="CE14" s="17">
        <f t="shared" si="3"/>
        <v>1.043567555</v>
      </c>
      <c r="CF14" s="17">
        <f t="shared" si="3"/>
        <v>1.034642924</v>
      </c>
      <c r="CG14" s="17">
        <f t="shared" si="3"/>
        <v>1.039785495</v>
      </c>
      <c r="CH14" s="17">
        <f t="shared" si="3"/>
        <v>1.035500004</v>
      </c>
      <c r="CI14" s="17">
        <f t="shared" si="3"/>
        <v>1.015788012</v>
      </c>
      <c r="CJ14" s="17">
        <f t="shared" si="3"/>
        <v>1.010690128</v>
      </c>
      <c r="CK14" s="17">
        <f t="shared" si="3"/>
        <v>1.025053614</v>
      </c>
      <c r="CL14" s="17">
        <f t="shared" si="3"/>
        <v>1.012408529</v>
      </c>
      <c r="CM14" s="17">
        <f t="shared" si="3"/>
        <v>1.015137079</v>
      </c>
      <c r="CN14" s="17">
        <f t="shared" si="3"/>
        <v>1.016228217</v>
      </c>
      <c r="CO14" s="17">
        <f t="shared" si="3"/>
        <v>1.023372356</v>
      </c>
      <c r="CP14" s="17">
        <f t="shared" si="3"/>
        <v>1.025619087</v>
      </c>
      <c r="CQ14" s="17">
        <f t="shared" si="3"/>
        <v>1.047431851</v>
      </c>
      <c r="CR14" s="17">
        <f t="shared" si="3"/>
        <v>1.0434382</v>
      </c>
      <c r="CS14" s="17">
        <f t="shared" si="3"/>
        <v>1.029239517</v>
      </c>
      <c r="CT14" s="17">
        <f t="shared" si="3"/>
        <v>1.010481802</v>
      </c>
      <c r="CU14" s="17">
        <f t="shared" si="3"/>
        <v>1.015993465</v>
      </c>
      <c r="CV14" s="17">
        <f t="shared" si="3"/>
        <v>0.9937134115</v>
      </c>
      <c r="CW14" s="17">
        <f t="shared" si="3"/>
        <v>1.023583717</v>
      </c>
      <c r="CX14" s="17">
        <f t="shared" si="3"/>
        <v>1.021066514</v>
      </c>
      <c r="CY14" s="17">
        <f t="shared" si="3"/>
        <v>1.01412996</v>
      </c>
      <c r="CZ14" s="17">
        <f t="shared" si="3"/>
        <v>1.023363294</v>
      </c>
      <c r="DA14" s="17">
        <f t="shared" si="3"/>
        <v>1.035886293</v>
      </c>
      <c r="DB14" s="17">
        <f t="shared" si="3"/>
        <v>1.034213524</v>
      </c>
      <c r="DC14" s="17">
        <f t="shared" si="3"/>
        <v>1.039237125</v>
      </c>
      <c r="DD14" s="17">
        <f t="shared" si="3"/>
        <v>1.019837121</v>
      </c>
      <c r="DE14" s="17">
        <f t="shared" si="3"/>
        <v>1.011355417</v>
      </c>
      <c r="DF14" s="17">
        <f t="shared" si="3"/>
        <v>1.00823123</v>
      </c>
      <c r="DG14" s="17">
        <f t="shared" si="3"/>
        <v>1.028297966</v>
      </c>
      <c r="DH14" s="17">
        <f t="shared" si="3"/>
        <v>1.016631821</v>
      </c>
      <c r="DI14" s="17">
        <f t="shared" si="3"/>
        <v>1.024493454</v>
      </c>
      <c r="DJ14" s="17">
        <f t="shared" si="3"/>
        <v>1.024247398</v>
      </c>
      <c r="DK14" s="17">
        <f t="shared" si="3"/>
        <v>1.002549368</v>
      </c>
      <c r="DL14" s="17">
        <f t="shared" si="3"/>
        <v>0.9712667459</v>
      </c>
      <c r="DM14" s="17">
        <f t="shared" si="3"/>
        <v>1.019494589</v>
      </c>
      <c r="DN14" s="17">
        <f t="shared" si="3"/>
        <v>1.021926797</v>
      </c>
      <c r="DO14" s="17">
        <f t="shared" si="3"/>
        <v>1.003131645</v>
      </c>
      <c r="DP14" s="17">
        <f t="shared" si="3"/>
        <v>1.005763236</v>
      </c>
      <c r="DQ14" s="17">
        <f t="shared" si="3"/>
        <v>1.009561687</v>
      </c>
      <c r="DR14" s="17">
        <f t="shared" si="3"/>
        <v>1.011129123</v>
      </c>
      <c r="DS14" s="17">
        <f t="shared" si="3"/>
        <v>1.010954626</v>
      </c>
      <c r="DT14" s="17">
        <f t="shared" si="3"/>
        <v>1.022914075</v>
      </c>
      <c r="DU14" s="17">
        <f t="shared" si="3"/>
        <v>1.018650985</v>
      </c>
      <c r="DV14" s="17">
        <f t="shared" si="3"/>
        <v>1.018429691</v>
      </c>
      <c r="DW14" s="17">
        <f t="shared" si="3"/>
        <v>0.9214473373</v>
      </c>
      <c r="DX14" s="17"/>
      <c r="DY14" s="17"/>
      <c r="DZ14" s="17"/>
      <c r="EA14" s="17"/>
      <c r="EB14" s="17"/>
      <c r="EC14" s="17"/>
      <c r="ED14" s="17"/>
      <c r="EE14" s="4"/>
      <c r="EF14" s="4"/>
      <c r="EG14" s="4"/>
      <c r="EH14" s="4"/>
      <c r="EI14" s="4"/>
      <c r="GV14" s="4"/>
      <c r="HE14" s="4"/>
      <c r="HF14" s="4"/>
      <c r="HG14" s="4"/>
      <c r="HH14" s="4"/>
      <c r="HI14" s="4"/>
      <c r="HJ14" s="4"/>
      <c r="HK14" s="4"/>
      <c r="HL14" s="4"/>
    </row>
    <row r="15" ht="14.25" customHeight="1">
      <c r="BD15" s="4"/>
      <c r="BE15" s="4" t="s">
        <v>78</v>
      </c>
      <c r="BF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GV15" s="4"/>
      <c r="HE15" s="4"/>
      <c r="HF15" s="4"/>
      <c r="HG15" s="4"/>
      <c r="HH15" s="4"/>
      <c r="HI15" s="4"/>
      <c r="HJ15" s="4"/>
      <c r="HK15" s="4"/>
      <c r="HL15" s="4"/>
    </row>
    <row r="16" ht="14.25" customHeight="1">
      <c r="A16" s="7" t="s">
        <v>0</v>
      </c>
      <c r="B16" s="1">
        <v>1895.0</v>
      </c>
      <c r="C16" s="1">
        <v>1900.0</v>
      </c>
      <c r="D16" s="1">
        <v>1905.0</v>
      </c>
      <c r="E16" s="1">
        <v>1910.0</v>
      </c>
      <c r="F16" s="1">
        <v>1915.0</v>
      </c>
      <c r="G16" s="1">
        <v>1920.0</v>
      </c>
      <c r="H16" s="1">
        <v>1925.0</v>
      </c>
      <c r="I16" s="1">
        <v>1930.0</v>
      </c>
      <c r="J16" s="1">
        <v>1935.0</v>
      </c>
      <c r="K16" s="1">
        <v>1940.0</v>
      </c>
      <c r="L16" s="1">
        <v>1945.0</v>
      </c>
      <c r="M16" s="1">
        <v>1950.0</v>
      </c>
      <c r="N16" s="1">
        <v>1955.0</v>
      </c>
      <c r="O16" s="1">
        <v>1960.0</v>
      </c>
      <c r="P16" s="1">
        <v>1965.0</v>
      </c>
      <c r="Q16" s="1">
        <v>1970.0</v>
      </c>
      <c r="R16" s="1">
        <v>1975.0</v>
      </c>
      <c r="S16" s="1">
        <v>1980.0</v>
      </c>
      <c r="T16" s="1">
        <v>1985.0</v>
      </c>
      <c r="U16" s="1">
        <v>1990.0</v>
      </c>
      <c r="V16" s="1">
        <v>1995.0</v>
      </c>
      <c r="W16" s="1">
        <v>2000.0</v>
      </c>
      <c r="X16" s="1">
        <v>2005.0</v>
      </c>
      <c r="Y16" s="1">
        <v>2010.0</v>
      </c>
      <c r="Z16" s="1">
        <v>2015.0</v>
      </c>
      <c r="AA16" s="1">
        <v>2020.0</v>
      </c>
      <c r="AB16" s="1">
        <v>2025.0</v>
      </c>
      <c r="AC16" s="1">
        <v>2030.0</v>
      </c>
      <c r="AD16" s="1">
        <v>2035.0</v>
      </c>
      <c r="AE16" s="1">
        <v>2040.0</v>
      </c>
      <c r="AF16" s="1">
        <v>2045.0</v>
      </c>
      <c r="AG16" s="1">
        <v>2050.0</v>
      </c>
      <c r="AH16" s="1">
        <v>2055.0</v>
      </c>
      <c r="AI16" s="1">
        <v>2060.0</v>
      </c>
      <c r="AJ16" s="1">
        <v>2065.0</v>
      </c>
      <c r="AK16" s="1">
        <v>2070.0</v>
      </c>
      <c r="EC16" s="4"/>
      <c r="GV16" s="4"/>
    </row>
    <row r="17" ht="14.25" customHeight="1">
      <c r="A17" s="7" t="s">
        <v>79</v>
      </c>
      <c r="B17" s="7">
        <f>PRODUCT(B14:F14)</f>
        <v>1.122252747</v>
      </c>
      <c r="C17" s="7">
        <f>PRODUCT(G14:K14)</f>
        <v>0.9853121175</v>
      </c>
      <c r="D17" s="7">
        <f>PRODUCT(L14:P14)</f>
        <v>1.119254658</v>
      </c>
      <c r="E17" s="7">
        <f>PRODUCT(Q14:U14)</f>
        <v>1.031076582</v>
      </c>
      <c r="F17" s="7">
        <f>PRODUCT(V14:Z14)</f>
        <v>0.8105489774</v>
      </c>
      <c r="G17" s="4">
        <f>PRODUCT(AA14:AE14)</f>
        <v>1.548472776</v>
      </c>
      <c r="H17" s="7">
        <f>PRODUCT(AF14:AJ14)</f>
        <v>1.152658662</v>
      </c>
      <c r="I17" s="7">
        <f>PRODUCT(AK14:AO14)</f>
        <v>0.9055059524</v>
      </c>
      <c r="J17" s="7">
        <f>PRODUCT(AP14:AT14)</f>
        <v>1.142152835</v>
      </c>
      <c r="K17" s="7">
        <f>PRODUCT(AU14:AY14)</f>
        <v>0.4690647482</v>
      </c>
      <c r="L17" s="7">
        <f>PRODUCT(AZ14:BD14)</f>
        <v>2.17791411</v>
      </c>
      <c r="M17" s="7">
        <f>PRODUCT(BE14:BI14)</f>
        <v>1.293577164</v>
      </c>
      <c r="N17" s="7">
        <f>PRODUCT(BJ14:BN14)</f>
        <v>1.230097549</v>
      </c>
      <c r="O17" s="7">
        <f>PRODUCT(BO14:BS14)</f>
        <v>1.372392391</v>
      </c>
      <c r="P17" s="7">
        <f>PRODUCT(BT14:BX14)</f>
        <v>1.296035244</v>
      </c>
      <c r="Q17" s="7">
        <f>PRODUCT(BY14:CC14)</f>
        <v>1.295433184</v>
      </c>
      <c r="R17" s="7">
        <f>PRODUCT(CD14:CH14)</f>
        <v>1.151373244</v>
      </c>
      <c r="S17" s="7">
        <f>PRODUCT(CI14:CM14)</f>
        <v>1.081553916</v>
      </c>
      <c r="T17" s="7">
        <f>PRODUCT(CN14:CR14)</f>
        <v>1.165744924</v>
      </c>
      <c r="U17" s="7">
        <f>PRODUCT(CS14:CW14)</f>
        <v>1.074781998</v>
      </c>
      <c r="V17" s="7">
        <f>PRODUCT(CX14:DB14)</f>
        <v>1.13527162</v>
      </c>
      <c r="W17" s="7">
        <f>PRODUCT(DC14:DG14)</f>
        <v>1.111292532</v>
      </c>
      <c r="X17" s="7">
        <f>PRODUCT(DH14:DL14)</f>
        <v>1.038776326</v>
      </c>
      <c r="Y17" s="7">
        <f>PRODUCT(DM14:DQ14)</f>
        <v>1.061185386</v>
      </c>
      <c r="Z17" s="7">
        <f>PRODUCT(DR14:DV14)</f>
        <v>1.084760593</v>
      </c>
      <c r="EC17" s="4"/>
      <c r="GV17" s="4"/>
    </row>
    <row r="18" ht="14.25" customHeight="1">
      <c r="A18" s="7" t="s">
        <v>80</v>
      </c>
      <c r="B18" s="18">
        <f t="shared" ref="B18:Z18" si="4">B17-1</f>
        <v>0.1222527473</v>
      </c>
      <c r="C18" s="18">
        <f t="shared" si="4"/>
        <v>-0.0146878825</v>
      </c>
      <c r="D18" s="18">
        <f t="shared" si="4"/>
        <v>0.1192546584</v>
      </c>
      <c r="E18" s="18">
        <f t="shared" si="4"/>
        <v>0.03107658158</v>
      </c>
      <c r="F18" s="18">
        <f t="shared" si="4"/>
        <v>-0.1894510226</v>
      </c>
      <c r="G18" s="18">
        <f t="shared" si="4"/>
        <v>0.5484727756</v>
      </c>
      <c r="H18" s="18">
        <f t="shared" si="4"/>
        <v>0.1526586621</v>
      </c>
      <c r="I18" s="18">
        <f t="shared" si="4"/>
        <v>-0.09449404762</v>
      </c>
      <c r="J18" s="18">
        <f t="shared" si="4"/>
        <v>0.1421528348</v>
      </c>
      <c r="K18" s="18">
        <f t="shared" si="4"/>
        <v>-0.5309352518</v>
      </c>
      <c r="L18" s="18">
        <f t="shared" si="4"/>
        <v>1.17791411</v>
      </c>
      <c r="M18" s="18">
        <f t="shared" si="4"/>
        <v>0.293577164</v>
      </c>
      <c r="N18" s="18">
        <f t="shared" si="4"/>
        <v>0.2300975489</v>
      </c>
      <c r="O18" s="18">
        <f t="shared" si="4"/>
        <v>0.3723923905</v>
      </c>
      <c r="P18" s="18">
        <f t="shared" si="4"/>
        <v>0.2960352437</v>
      </c>
      <c r="Q18" s="18">
        <f t="shared" si="4"/>
        <v>0.2954331843</v>
      </c>
      <c r="R18" s="18">
        <f t="shared" si="4"/>
        <v>0.1513732439</v>
      </c>
      <c r="S18" s="18">
        <f t="shared" si="4"/>
        <v>0.08155391588</v>
      </c>
      <c r="T18" s="18">
        <f t="shared" si="4"/>
        <v>0.1657449239</v>
      </c>
      <c r="U18" s="18">
        <f t="shared" si="4"/>
        <v>0.07478199831</v>
      </c>
      <c r="V18" s="18">
        <f t="shared" si="4"/>
        <v>0.1352716201</v>
      </c>
      <c r="W18" s="18">
        <f t="shared" si="4"/>
        <v>0.1112925321</v>
      </c>
      <c r="X18" s="18">
        <f t="shared" si="4"/>
        <v>0.03877632632</v>
      </c>
      <c r="Y18" s="18">
        <f t="shared" si="4"/>
        <v>0.0611853865</v>
      </c>
      <c r="Z18" s="18">
        <f t="shared" si="4"/>
        <v>0.08476059269</v>
      </c>
      <c r="EC18" s="4"/>
      <c r="GV18" s="4"/>
    </row>
    <row r="19" ht="14.25" customHeight="1">
      <c r="A19" s="7" t="s">
        <v>81</v>
      </c>
      <c r="B19" s="27">
        <f t="shared" ref="B19:Z19" si="5">B17-1</f>
        <v>0.1222527473</v>
      </c>
      <c r="C19" s="27">
        <f t="shared" si="5"/>
        <v>-0.0146878825</v>
      </c>
      <c r="D19" s="27">
        <f t="shared" si="5"/>
        <v>0.1192546584</v>
      </c>
      <c r="E19" s="27">
        <f t="shared" si="5"/>
        <v>0.03107658158</v>
      </c>
      <c r="F19" s="27">
        <f t="shared" si="5"/>
        <v>-0.1894510226</v>
      </c>
      <c r="G19" s="27">
        <f t="shared" si="5"/>
        <v>0.5484727756</v>
      </c>
      <c r="H19" s="27">
        <f t="shared" si="5"/>
        <v>0.1526586621</v>
      </c>
      <c r="I19" s="27">
        <f t="shared" si="5"/>
        <v>-0.09449404762</v>
      </c>
      <c r="J19" s="27">
        <f t="shared" si="5"/>
        <v>0.1421528348</v>
      </c>
      <c r="K19" s="27">
        <f t="shared" si="5"/>
        <v>-0.5309352518</v>
      </c>
      <c r="L19" s="27">
        <f t="shared" si="5"/>
        <v>1.17791411</v>
      </c>
      <c r="M19" s="27">
        <f t="shared" si="5"/>
        <v>0.293577164</v>
      </c>
      <c r="N19" s="27">
        <f t="shared" si="5"/>
        <v>0.2300975489</v>
      </c>
      <c r="O19" s="27">
        <f t="shared" si="5"/>
        <v>0.3723923905</v>
      </c>
      <c r="P19" s="27">
        <f t="shared" si="5"/>
        <v>0.2960352437</v>
      </c>
      <c r="Q19" s="27">
        <f t="shared" si="5"/>
        <v>0.2954331843</v>
      </c>
      <c r="R19" s="27">
        <f t="shared" si="5"/>
        <v>0.1513732439</v>
      </c>
      <c r="S19" s="27">
        <f t="shared" si="5"/>
        <v>0.08155391588</v>
      </c>
      <c r="T19" s="27">
        <f t="shared" si="5"/>
        <v>0.1657449239</v>
      </c>
      <c r="U19" s="27">
        <f t="shared" si="5"/>
        <v>0.07478199831</v>
      </c>
      <c r="V19" s="27">
        <f t="shared" si="5"/>
        <v>0.1352716201</v>
      </c>
      <c r="W19" s="27">
        <f t="shared" si="5"/>
        <v>0.1112925321</v>
      </c>
      <c r="X19" s="27">
        <f t="shared" si="5"/>
        <v>0.03877632632</v>
      </c>
      <c r="Y19" s="27">
        <f t="shared" si="5"/>
        <v>0.0611853865</v>
      </c>
      <c r="Z19" s="27">
        <f t="shared" si="5"/>
        <v>0.08476059269</v>
      </c>
      <c r="EC19" s="4"/>
      <c r="GV19" s="4"/>
    </row>
    <row r="20" ht="14.25" customHeight="1">
      <c r="EC20" s="4"/>
      <c r="GV20" s="4"/>
    </row>
    <row r="21" ht="14.25" customHeight="1">
      <c r="EC21" s="4"/>
      <c r="GV21" s="4"/>
    </row>
    <row r="22" ht="14.25" customHeight="1">
      <c r="EC22" s="4"/>
      <c r="GV22" s="4"/>
    </row>
    <row r="23" ht="14.25" customHeight="1">
      <c r="EC23" s="4"/>
      <c r="GV23" s="4"/>
    </row>
    <row r="24" ht="14.25" customHeight="1"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EC24" s="4"/>
      <c r="GV24" s="4"/>
    </row>
    <row r="25" ht="14.25" customHeight="1"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EC25" s="4"/>
      <c r="GV25" s="4"/>
    </row>
    <row r="26" ht="14.25" customHeight="1">
      <c r="EC26" s="4"/>
      <c r="GV26" s="4"/>
    </row>
    <row r="27" ht="14.25" customHeight="1">
      <c r="EC27" s="4"/>
      <c r="GV27" s="4"/>
    </row>
    <row r="28" ht="14.25" customHeight="1">
      <c r="EC28" s="4"/>
      <c r="GV28" s="4"/>
    </row>
    <row r="29" ht="14.25" customHeight="1">
      <c r="EC29" s="4"/>
      <c r="GV29" s="4"/>
    </row>
    <row r="30" ht="14.25" customHeight="1">
      <c r="EC30" s="4"/>
      <c r="GV30" s="4"/>
    </row>
    <row r="31" ht="14.25" customHeight="1">
      <c r="EC31" s="4"/>
      <c r="GV31" s="4"/>
    </row>
    <row r="32" ht="14.25" customHeight="1">
      <c r="EC32" s="4"/>
      <c r="GV32" s="4"/>
    </row>
    <row r="33" ht="14.25" customHeight="1">
      <c r="EC33" s="4"/>
      <c r="GV33" s="4"/>
    </row>
    <row r="34" ht="14.25" customHeight="1">
      <c r="EC34" s="4"/>
      <c r="GV34" s="4"/>
    </row>
    <row r="35" ht="14.25" customHeight="1">
      <c r="EC35" s="4"/>
      <c r="GV35" s="4"/>
    </row>
    <row r="36" ht="14.25" customHeight="1">
      <c r="EC36" s="4"/>
      <c r="GV36" s="4"/>
    </row>
    <row r="37" ht="14.25" customHeight="1">
      <c r="EC37" s="4"/>
      <c r="GV37" s="4"/>
    </row>
    <row r="38" ht="14.25" customHeight="1">
      <c r="EC38" s="4"/>
      <c r="GV38" s="4"/>
    </row>
    <row r="39" ht="14.25" customHeight="1">
      <c r="EC39" s="4"/>
      <c r="GV39" s="4"/>
    </row>
    <row r="40" ht="14.25" customHeight="1">
      <c r="EC40" s="4"/>
      <c r="GV40" s="4"/>
    </row>
    <row r="41" ht="14.25" customHeight="1">
      <c r="EC41" s="4"/>
      <c r="GV41" s="4"/>
    </row>
    <row r="42" ht="14.25" customHeight="1">
      <c r="EC42" s="4"/>
      <c r="GV42" s="4"/>
    </row>
    <row r="43" ht="14.25" customHeight="1">
      <c r="EC43" s="4"/>
      <c r="GV43" s="4"/>
    </row>
    <row r="44" ht="14.25" customHeight="1">
      <c r="EC44" s="4"/>
      <c r="GV44" s="4"/>
    </row>
    <row r="45" ht="14.25" customHeight="1">
      <c r="EC45" s="4"/>
      <c r="GV45" s="4"/>
    </row>
    <row r="46" ht="14.25" customHeight="1">
      <c r="EC46" s="4"/>
      <c r="GV46" s="4"/>
    </row>
    <row r="47" ht="14.25" customHeight="1">
      <c r="EC47" s="4"/>
      <c r="GV47" s="4"/>
    </row>
    <row r="48" ht="14.25" customHeight="1">
      <c r="EC48" s="4"/>
      <c r="GV48" s="4"/>
    </row>
    <row r="49" ht="14.25" customHeight="1">
      <c r="EC49" s="4"/>
      <c r="GV49" s="4"/>
    </row>
    <row r="50" ht="14.25" customHeight="1">
      <c r="EC50" s="4"/>
      <c r="GV50" s="4"/>
    </row>
    <row r="51" ht="14.25" customHeight="1">
      <c r="EC51" s="4"/>
      <c r="GV51" s="4"/>
    </row>
    <row r="52" ht="14.25" customHeight="1">
      <c r="EC52" s="4"/>
      <c r="GV52" s="4"/>
    </row>
    <row r="53" ht="14.25" customHeight="1">
      <c r="EC53" s="4"/>
      <c r="GV53" s="4"/>
    </row>
    <row r="54" ht="14.25" customHeight="1">
      <c r="EC54" s="4"/>
      <c r="GV54" s="4"/>
    </row>
    <row r="55" ht="14.25" customHeight="1">
      <c r="EC55" s="4"/>
      <c r="GV55" s="4"/>
    </row>
    <row r="56" ht="14.25" customHeight="1">
      <c r="EC56" s="4"/>
      <c r="GV56" s="4"/>
    </row>
    <row r="57" ht="14.25" customHeight="1">
      <c r="EC57" s="4"/>
      <c r="GV57" s="4"/>
    </row>
    <row r="58" ht="14.25" customHeight="1">
      <c r="EC58" s="4"/>
      <c r="GV58" s="4"/>
    </row>
    <row r="59" ht="14.25" customHeight="1">
      <c r="EC59" s="4"/>
      <c r="GV59" s="4"/>
    </row>
    <row r="60" ht="14.25" customHeight="1">
      <c r="EC60" s="4"/>
      <c r="GV60" s="4"/>
    </row>
    <row r="61" ht="14.25" customHeight="1">
      <c r="EC61" s="4"/>
      <c r="GV61" s="4"/>
    </row>
    <row r="62" ht="14.25" customHeight="1">
      <c r="EC62" s="4"/>
      <c r="GV62" s="4"/>
    </row>
    <row r="63" ht="14.25" customHeight="1">
      <c r="EC63" s="4"/>
      <c r="GV63" s="4"/>
    </row>
    <row r="64" ht="14.25" customHeight="1">
      <c r="EC64" s="4"/>
      <c r="GV64" s="4"/>
    </row>
    <row r="65" ht="14.25" customHeight="1">
      <c r="EC65" s="4"/>
      <c r="GV65" s="4"/>
    </row>
    <row r="66" ht="14.25" customHeight="1">
      <c r="EC66" s="4"/>
      <c r="GV66" s="4"/>
    </row>
    <row r="67" ht="14.25" customHeight="1">
      <c r="EC67" s="4"/>
      <c r="GV67" s="4"/>
    </row>
    <row r="68" ht="14.25" customHeight="1">
      <c r="EC68" s="4"/>
      <c r="GV68" s="4"/>
    </row>
    <row r="69" ht="14.25" customHeight="1">
      <c r="EC69" s="4"/>
      <c r="GV69" s="4"/>
    </row>
    <row r="70" ht="14.25" customHeight="1">
      <c r="EC70" s="4"/>
      <c r="GV70" s="4"/>
    </row>
    <row r="71" ht="14.25" customHeight="1">
      <c r="EC71" s="4"/>
      <c r="GV71" s="4"/>
    </row>
    <row r="72" ht="14.25" customHeight="1">
      <c r="EC72" s="4"/>
      <c r="GV72" s="4"/>
    </row>
    <row r="73" ht="14.25" customHeight="1">
      <c r="EC73" s="4"/>
      <c r="GV73" s="4"/>
    </row>
    <row r="74" ht="14.25" customHeight="1">
      <c r="EC74" s="4"/>
      <c r="GV74" s="4"/>
    </row>
    <row r="75" ht="14.25" customHeight="1">
      <c r="EC75" s="4"/>
      <c r="GV75" s="4"/>
    </row>
    <row r="76" ht="14.25" customHeight="1">
      <c r="EC76" s="4"/>
      <c r="GV76" s="4"/>
    </row>
    <row r="77" ht="14.25" customHeight="1">
      <c r="EC77" s="4"/>
      <c r="GV77" s="4"/>
    </row>
    <row r="78" ht="14.25" customHeight="1">
      <c r="EC78" s="4"/>
      <c r="GV78" s="4"/>
    </row>
    <row r="79" ht="14.25" customHeight="1">
      <c r="EC79" s="4"/>
      <c r="GV79" s="4"/>
    </row>
    <row r="80" ht="14.25" customHeight="1">
      <c r="EC80" s="4"/>
      <c r="GV80" s="4"/>
    </row>
    <row r="81" ht="14.25" customHeight="1">
      <c r="EC81" s="4"/>
      <c r="GV81" s="4"/>
    </row>
    <row r="82" ht="14.25" customHeight="1">
      <c r="EC82" s="4"/>
      <c r="GV82" s="4"/>
    </row>
    <row r="83" ht="14.25" customHeight="1">
      <c r="EC83" s="4"/>
      <c r="GV83" s="4"/>
    </row>
    <row r="84" ht="14.25" customHeight="1">
      <c r="EC84" s="4"/>
      <c r="GV84" s="4"/>
    </row>
    <row r="85" ht="14.25" customHeight="1">
      <c r="EC85" s="4"/>
      <c r="GV85" s="4"/>
    </row>
    <row r="86" ht="14.25" customHeight="1">
      <c r="EC86" s="4"/>
      <c r="GV86" s="4"/>
    </row>
    <row r="87" ht="14.25" customHeight="1">
      <c r="EC87" s="4"/>
      <c r="GV87" s="4"/>
    </row>
    <row r="88" ht="14.25" customHeight="1">
      <c r="EC88" s="4"/>
      <c r="GV88" s="4"/>
    </row>
    <row r="89" ht="14.25" customHeight="1">
      <c r="EC89" s="4"/>
      <c r="GV89" s="4"/>
    </row>
    <row r="90" ht="14.25" customHeight="1">
      <c r="EC90" s="4"/>
      <c r="GV90" s="4"/>
    </row>
    <row r="91" ht="14.25" customHeight="1">
      <c r="EC91" s="4"/>
      <c r="GV91" s="4"/>
    </row>
    <row r="92" ht="14.25" customHeight="1">
      <c r="EC92" s="4"/>
      <c r="GV92" s="4"/>
    </row>
    <row r="93" ht="14.25" customHeight="1">
      <c r="EC93" s="4"/>
      <c r="GV93" s="4"/>
    </row>
    <row r="94" ht="14.25" customHeight="1">
      <c r="EC94" s="4"/>
      <c r="GV94" s="4"/>
    </row>
    <row r="95" ht="14.25" customHeight="1">
      <c r="EC95" s="4"/>
      <c r="GV95" s="4"/>
    </row>
    <row r="96" ht="14.25" customHeight="1">
      <c r="EC96" s="4"/>
      <c r="GV96" s="4"/>
    </row>
    <row r="97" ht="14.25" customHeight="1">
      <c r="EC97" s="4"/>
      <c r="GV97" s="4"/>
    </row>
    <row r="98" ht="14.25" customHeight="1">
      <c r="EC98" s="4"/>
      <c r="GV98" s="4"/>
    </row>
    <row r="99" ht="14.25" customHeight="1">
      <c r="EC99" s="4"/>
      <c r="GV99" s="4"/>
    </row>
    <row r="100" ht="14.25" customHeight="1">
      <c r="EC100" s="4"/>
      <c r="GV100" s="4"/>
    </row>
    <row r="101" ht="14.25" customHeight="1">
      <c r="EC101" s="4"/>
      <c r="GV101" s="4"/>
    </row>
    <row r="102" ht="14.25" customHeight="1">
      <c r="EC102" s="4"/>
      <c r="GV102" s="4"/>
    </row>
    <row r="103" ht="14.25" customHeight="1">
      <c r="EC103" s="4"/>
      <c r="GV103" s="4"/>
    </row>
    <row r="104" ht="14.25" customHeight="1">
      <c r="EC104" s="4"/>
      <c r="GV104" s="4"/>
    </row>
    <row r="105" ht="14.25" customHeight="1">
      <c r="EC105" s="4"/>
      <c r="GV105" s="4"/>
    </row>
    <row r="106" ht="14.25" customHeight="1">
      <c r="EC106" s="4"/>
      <c r="GV106" s="4"/>
    </row>
    <row r="107" ht="14.25" customHeight="1">
      <c r="EC107" s="4"/>
      <c r="GV107" s="4"/>
    </row>
    <row r="108" ht="14.25" customHeight="1">
      <c r="EC108" s="4"/>
      <c r="GV108" s="4"/>
    </row>
    <row r="109" ht="14.25" customHeight="1">
      <c r="EC109" s="4"/>
      <c r="GV109" s="4"/>
    </row>
    <row r="110" ht="14.25" customHeight="1">
      <c r="EC110" s="4"/>
      <c r="GV110" s="4"/>
    </row>
    <row r="111" ht="14.25" customHeight="1">
      <c r="EC111" s="4"/>
      <c r="GV111" s="4"/>
    </row>
    <row r="112" ht="14.25" customHeight="1">
      <c r="EC112" s="4"/>
      <c r="GV112" s="4"/>
    </row>
    <row r="113" ht="14.25" customHeight="1">
      <c r="EC113" s="4"/>
      <c r="GV113" s="4"/>
    </row>
    <row r="114" ht="14.25" customHeight="1">
      <c r="EC114" s="4"/>
      <c r="GV114" s="4"/>
    </row>
    <row r="115" ht="14.25" customHeight="1">
      <c r="EC115" s="4"/>
      <c r="GV115" s="4"/>
    </row>
    <row r="116" ht="14.25" customHeight="1">
      <c r="EC116" s="4"/>
      <c r="GV116" s="4"/>
    </row>
    <row r="117" ht="14.25" customHeight="1">
      <c r="EC117" s="4"/>
      <c r="GV117" s="4"/>
    </row>
    <row r="118" ht="14.25" customHeight="1">
      <c r="EC118" s="4"/>
      <c r="GV118" s="4"/>
    </row>
    <row r="119" ht="14.25" customHeight="1">
      <c r="EC119" s="4"/>
      <c r="GV119" s="4"/>
    </row>
    <row r="120" ht="14.25" customHeight="1">
      <c r="EC120" s="4"/>
      <c r="GV120" s="4"/>
    </row>
    <row r="121" ht="14.25" customHeight="1">
      <c r="EC121" s="4"/>
      <c r="GV121" s="4"/>
    </row>
    <row r="122" ht="14.25" customHeight="1">
      <c r="EC122" s="4"/>
      <c r="GV122" s="4"/>
    </row>
    <row r="123" ht="14.25" customHeight="1">
      <c r="EC123" s="4"/>
      <c r="GV123" s="4"/>
    </row>
    <row r="124" ht="14.25" customHeight="1">
      <c r="EC124" s="4"/>
      <c r="GV124" s="4"/>
    </row>
    <row r="125" ht="14.25" customHeight="1">
      <c r="EC125" s="4"/>
      <c r="GV125" s="4"/>
    </row>
    <row r="126" ht="14.25" customHeight="1">
      <c r="EC126" s="4"/>
      <c r="GV126" s="4"/>
    </row>
    <row r="127" ht="14.25" customHeight="1">
      <c r="EC127" s="4"/>
      <c r="GV127" s="4"/>
    </row>
    <row r="128" ht="14.25" customHeight="1">
      <c r="EC128" s="4"/>
      <c r="GV128" s="4"/>
    </row>
    <row r="129" ht="14.25" customHeight="1">
      <c r="EC129" s="4"/>
      <c r="GV129" s="4"/>
    </row>
    <row r="130" ht="14.25" customHeight="1">
      <c r="EC130" s="4"/>
      <c r="GV130" s="4"/>
    </row>
    <row r="131" ht="14.25" customHeight="1">
      <c r="EC131" s="4"/>
      <c r="GV131" s="4"/>
    </row>
    <row r="132" ht="14.25" customHeight="1">
      <c r="EC132" s="4"/>
      <c r="GV132" s="4"/>
    </row>
    <row r="133" ht="14.25" customHeight="1">
      <c r="EC133" s="4"/>
      <c r="GV133" s="4"/>
    </row>
    <row r="134" ht="14.25" customHeight="1">
      <c r="EC134" s="4"/>
      <c r="GV134" s="4"/>
    </row>
    <row r="135" ht="14.25" customHeight="1">
      <c r="EC135" s="4"/>
      <c r="GV135" s="4"/>
    </row>
    <row r="136" ht="14.25" customHeight="1">
      <c r="EC136" s="4"/>
      <c r="GV136" s="4"/>
    </row>
    <row r="137" ht="14.25" customHeight="1">
      <c r="EC137" s="4"/>
      <c r="GV137" s="4"/>
    </row>
    <row r="138" ht="14.25" customHeight="1">
      <c r="EC138" s="4"/>
      <c r="GV138" s="4"/>
    </row>
    <row r="139" ht="14.25" customHeight="1">
      <c r="EC139" s="4"/>
      <c r="GV139" s="4"/>
    </row>
    <row r="140" ht="14.25" customHeight="1">
      <c r="EC140" s="4"/>
      <c r="GV140" s="4"/>
    </row>
    <row r="141" ht="14.25" customHeight="1">
      <c r="EC141" s="4"/>
      <c r="GV141" s="4"/>
    </row>
    <row r="142" ht="14.25" customHeight="1">
      <c r="EC142" s="4"/>
      <c r="GV142" s="4"/>
    </row>
    <row r="143" ht="14.25" customHeight="1">
      <c r="EC143" s="4"/>
      <c r="GV143" s="4"/>
    </row>
    <row r="144" ht="14.25" customHeight="1">
      <c r="EC144" s="4"/>
      <c r="GV144" s="4"/>
    </row>
    <row r="145" ht="14.25" customHeight="1">
      <c r="EC145" s="4"/>
      <c r="GV145" s="4"/>
    </row>
    <row r="146" ht="14.25" customHeight="1">
      <c r="EC146" s="4"/>
      <c r="GV146" s="4"/>
    </row>
    <row r="147" ht="14.25" customHeight="1">
      <c r="EC147" s="4"/>
      <c r="GV147" s="4"/>
    </row>
    <row r="148" ht="14.25" customHeight="1">
      <c r="EC148" s="4"/>
      <c r="GV148" s="4"/>
    </row>
    <row r="149" ht="14.25" customHeight="1">
      <c r="EC149" s="4"/>
      <c r="GV149" s="4"/>
    </row>
    <row r="150" ht="14.25" customHeight="1">
      <c r="EC150" s="4"/>
      <c r="GV150" s="4"/>
    </row>
    <row r="151" ht="14.25" customHeight="1">
      <c r="EC151" s="4"/>
      <c r="GV151" s="4"/>
    </row>
    <row r="152" ht="14.25" customHeight="1">
      <c r="EC152" s="4"/>
      <c r="GV152" s="4"/>
    </row>
    <row r="153" ht="14.25" customHeight="1">
      <c r="EC153" s="4"/>
      <c r="GV153" s="4"/>
    </row>
    <row r="154" ht="14.25" customHeight="1">
      <c r="EC154" s="4"/>
      <c r="GV154" s="4"/>
    </row>
    <row r="155" ht="14.25" customHeight="1">
      <c r="EC155" s="4"/>
      <c r="GV155" s="4"/>
    </row>
    <row r="156" ht="14.25" customHeight="1">
      <c r="EC156" s="4"/>
      <c r="GV156" s="4"/>
    </row>
    <row r="157" ht="14.25" customHeight="1">
      <c r="EC157" s="4"/>
      <c r="GV157" s="4"/>
    </row>
    <row r="158" ht="14.25" customHeight="1">
      <c r="EC158" s="4"/>
      <c r="GV158" s="4"/>
    </row>
    <row r="159" ht="14.25" customHeight="1">
      <c r="EC159" s="4"/>
      <c r="GV159" s="4"/>
    </row>
    <row r="160" ht="14.25" customHeight="1">
      <c r="EC160" s="4"/>
      <c r="GV160" s="4"/>
    </row>
    <row r="161" ht="14.25" customHeight="1">
      <c r="EC161" s="4"/>
      <c r="GV161" s="4"/>
    </row>
    <row r="162" ht="14.25" customHeight="1">
      <c r="EC162" s="4"/>
      <c r="GV162" s="4"/>
    </row>
    <row r="163" ht="14.25" customHeight="1">
      <c r="EC163" s="4"/>
      <c r="GV163" s="4"/>
    </row>
    <row r="164" ht="14.25" customHeight="1">
      <c r="EC164" s="4"/>
      <c r="GV164" s="4"/>
    </row>
    <row r="165" ht="14.25" customHeight="1">
      <c r="EC165" s="4"/>
      <c r="GV165" s="4"/>
    </row>
    <row r="166" ht="14.25" customHeight="1">
      <c r="EC166" s="4"/>
      <c r="GV166" s="4"/>
    </row>
    <row r="167" ht="14.25" customHeight="1">
      <c r="EC167" s="4"/>
      <c r="GV167" s="4"/>
    </row>
    <row r="168" ht="14.25" customHeight="1">
      <c r="EC168" s="4"/>
      <c r="GV168" s="4"/>
    </row>
    <row r="169" ht="14.25" customHeight="1">
      <c r="EC169" s="4"/>
      <c r="GV169" s="4"/>
    </row>
    <row r="170" ht="14.25" customHeight="1">
      <c r="EC170" s="4"/>
      <c r="GV170" s="4"/>
    </row>
    <row r="171" ht="14.25" customHeight="1">
      <c r="EC171" s="4"/>
      <c r="GV171" s="4"/>
    </row>
    <row r="172" ht="14.25" customHeight="1">
      <c r="EC172" s="4"/>
      <c r="GV172" s="4"/>
    </row>
    <row r="173" ht="14.25" customHeight="1">
      <c r="EC173" s="4"/>
      <c r="GV173" s="4"/>
    </row>
    <row r="174" ht="14.25" customHeight="1">
      <c r="EC174" s="4"/>
      <c r="GV174" s="4"/>
    </row>
    <row r="175" ht="14.25" customHeight="1">
      <c r="EC175" s="4"/>
      <c r="GV175" s="4"/>
    </row>
    <row r="176" ht="14.25" customHeight="1">
      <c r="EC176" s="4"/>
      <c r="GV176" s="4"/>
    </row>
    <row r="177" ht="14.25" customHeight="1">
      <c r="EC177" s="4"/>
      <c r="GV177" s="4"/>
    </row>
    <row r="178" ht="14.25" customHeight="1">
      <c r="EC178" s="4"/>
      <c r="GV178" s="4"/>
    </row>
    <row r="179" ht="14.25" customHeight="1">
      <c r="EC179" s="4"/>
      <c r="GV179" s="4"/>
    </row>
    <row r="180" ht="14.25" customHeight="1">
      <c r="EC180" s="4"/>
      <c r="GV180" s="4"/>
    </row>
    <row r="181" ht="14.25" customHeight="1">
      <c r="EC181" s="4"/>
      <c r="GV181" s="4"/>
    </row>
    <row r="182" ht="14.25" customHeight="1">
      <c r="EC182" s="4"/>
      <c r="GV182" s="4"/>
    </row>
    <row r="183" ht="14.25" customHeight="1">
      <c r="EC183" s="4"/>
      <c r="GV183" s="4"/>
    </row>
    <row r="184" ht="14.25" customHeight="1">
      <c r="EC184" s="4"/>
      <c r="GV184" s="4"/>
    </row>
    <row r="185" ht="14.25" customHeight="1">
      <c r="EC185" s="4"/>
      <c r="GV185" s="4"/>
    </row>
    <row r="186" ht="14.25" customHeight="1">
      <c r="EC186" s="4"/>
      <c r="GV186" s="4"/>
    </row>
    <row r="187" ht="14.25" customHeight="1">
      <c r="EC187" s="4"/>
      <c r="GV187" s="4"/>
    </row>
    <row r="188" ht="14.25" customHeight="1">
      <c r="EC188" s="4"/>
      <c r="GV188" s="4"/>
    </row>
    <row r="189" ht="14.25" customHeight="1">
      <c r="EC189" s="4"/>
      <c r="GV189" s="4"/>
    </row>
    <row r="190" ht="14.25" customHeight="1">
      <c r="EC190" s="4"/>
      <c r="GV190" s="4"/>
    </row>
    <row r="191" ht="14.25" customHeight="1">
      <c r="EC191" s="4"/>
      <c r="GV191" s="4"/>
    </row>
    <row r="192" ht="14.25" customHeight="1">
      <c r="EC192" s="4"/>
      <c r="GV192" s="4"/>
    </row>
    <row r="193" ht="14.25" customHeight="1">
      <c r="EC193" s="4"/>
      <c r="GV193" s="4"/>
    </row>
    <row r="194" ht="14.25" customHeight="1">
      <c r="EC194" s="4"/>
      <c r="GV194" s="4"/>
    </row>
    <row r="195" ht="14.25" customHeight="1">
      <c r="EC195" s="4"/>
      <c r="GV195" s="4"/>
    </row>
    <row r="196" ht="14.25" customHeight="1">
      <c r="EC196" s="4"/>
      <c r="GV196" s="4"/>
    </row>
    <row r="197" ht="14.25" customHeight="1">
      <c r="EC197" s="4"/>
      <c r="GV197" s="4"/>
    </row>
    <row r="198" ht="14.25" customHeight="1">
      <c r="EC198" s="4"/>
      <c r="GV198" s="4"/>
    </row>
    <row r="199" ht="14.25" customHeight="1">
      <c r="EC199" s="4"/>
      <c r="GV199" s="4"/>
    </row>
    <row r="200" ht="14.25" customHeight="1">
      <c r="EC200" s="4"/>
      <c r="GV200" s="4"/>
    </row>
    <row r="201" ht="14.25" customHeight="1">
      <c r="EC201" s="4"/>
      <c r="GV201" s="4"/>
    </row>
    <row r="202" ht="14.25" customHeight="1">
      <c r="EC202" s="4"/>
      <c r="GV202" s="4"/>
    </row>
    <row r="203" ht="14.25" customHeight="1">
      <c r="EC203" s="4"/>
      <c r="GV203" s="4"/>
    </row>
    <row r="204" ht="14.25" customHeight="1">
      <c r="EC204" s="4"/>
      <c r="GV204" s="4"/>
    </row>
    <row r="205" ht="14.25" customHeight="1">
      <c r="EC205" s="4"/>
      <c r="GV205" s="4"/>
    </row>
    <row r="206" ht="14.25" customHeight="1">
      <c r="EC206" s="4"/>
      <c r="GV206" s="4"/>
    </row>
    <row r="207" ht="14.25" customHeight="1">
      <c r="EC207" s="4"/>
      <c r="GV207" s="4"/>
    </row>
    <row r="208" ht="14.25" customHeight="1">
      <c r="EC208" s="4"/>
      <c r="GV208" s="4"/>
    </row>
    <row r="209" ht="14.25" customHeight="1">
      <c r="EC209" s="4"/>
      <c r="GV209" s="4"/>
    </row>
    <row r="210" ht="14.25" customHeight="1">
      <c r="EC210" s="4"/>
      <c r="GV210" s="4"/>
    </row>
    <row r="211" ht="14.25" customHeight="1">
      <c r="EC211" s="4"/>
      <c r="GV211" s="4"/>
    </row>
    <row r="212" ht="14.25" customHeight="1">
      <c r="EC212" s="4"/>
      <c r="GV212" s="4"/>
    </row>
    <row r="213" ht="14.25" customHeight="1">
      <c r="EC213" s="4"/>
      <c r="GV213" s="4"/>
    </row>
    <row r="214" ht="14.25" customHeight="1">
      <c r="EC214" s="4"/>
      <c r="GV214" s="4"/>
    </row>
    <row r="215" ht="14.25" customHeight="1">
      <c r="EC215" s="4"/>
      <c r="GV215" s="4"/>
    </row>
    <row r="216" ht="14.25" customHeight="1">
      <c r="EC216" s="4"/>
      <c r="GV216" s="4"/>
    </row>
    <row r="217" ht="14.25" customHeight="1">
      <c r="EC217" s="4"/>
      <c r="GV217" s="4"/>
    </row>
    <row r="218" ht="14.25" customHeight="1">
      <c r="EC218" s="4"/>
      <c r="GV218" s="4"/>
    </row>
    <row r="219" ht="14.25" customHeight="1">
      <c r="EC219" s="4"/>
      <c r="GV219" s="4"/>
    </row>
    <row r="220" ht="14.25" customHeight="1">
      <c r="EC220" s="4"/>
      <c r="GV220" s="4"/>
    </row>
    <row r="221" ht="14.25" customHeight="1">
      <c r="EC221" s="4"/>
      <c r="GV221" s="4"/>
    </row>
    <row r="222" ht="14.25" customHeight="1">
      <c r="EC222" s="4"/>
      <c r="GV222" s="4"/>
    </row>
    <row r="223" ht="14.25" customHeight="1">
      <c r="EC223" s="4"/>
      <c r="GV223" s="4"/>
    </row>
    <row r="224" ht="14.25" customHeight="1">
      <c r="EC224" s="4"/>
      <c r="GV224" s="4"/>
    </row>
    <row r="225" ht="14.25" customHeight="1">
      <c r="EC225" s="4"/>
      <c r="GV225" s="4"/>
    </row>
    <row r="226" ht="14.25" customHeight="1">
      <c r="EC226" s="4"/>
      <c r="GV226" s="4"/>
    </row>
    <row r="227" ht="14.25" customHeight="1">
      <c r="EC227" s="4"/>
      <c r="GV227" s="4"/>
    </row>
    <row r="228" ht="14.25" customHeight="1">
      <c r="EC228" s="4"/>
      <c r="GV228" s="4"/>
    </row>
    <row r="229" ht="14.25" customHeight="1">
      <c r="EC229" s="4"/>
      <c r="GV229" s="4"/>
    </row>
    <row r="230" ht="14.25" customHeight="1">
      <c r="EC230" s="4"/>
      <c r="GV230" s="4"/>
    </row>
    <row r="231" ht="14.25" customHeight="1">
      <c r="EC231" s="4"/>
      <c r="GV231" s="4"/>
    </row>
    <row r="232" ht="14.25" customHeight="1">
      <c r="EC232" s="4"/>
      <c r="GV232" s="4"/>
    </row>
    <row r="233" ht="14.25" customHeight="1">
      <c r="EC233" s="4"/>
      <c r="GV233" s="4"/>
    </row>
    <row r="234" ht="14.25" customHeight="1">
      <c r="EC234" s="4"/>
      <c r="GV234" s="4"/>
    </row>
    <row r="235" ht="14.25" customHeight="1">
      <c r="EC235" s="4"/>
      <c r="GV235" s="4"/>
    </row>
    <row r="236" ht="14.25" customHeight="1">
      <c r="EC236" s="4"/>
      <c r="GV236" s="4"/>
    </row>
    <row r="237" ht="14.25" customHeight="1">
      <c r="EC237" s="4"/>
      <c r="GV237" s="4"/>
    </row>
    <row r="238" ht="14.25" customHeight="1">
      <c r="EC238" s="4"/>
      <c r="GV238" s="4"/>
    </row>
    <row r="239" ht="14.25" customHeight="1">
      <c r="EC239" s="4"/>
      <c r="GV239" s="4"/>
    </row>
    <row r="240" ht="14.25" customHeight="1">
      <c r="EC240" s="4"/>
      <c r="GV240" s="4"/>
    </row>
    <row r="241" ht="14.25" customHeight="1">
      <c r="EC241" s="4"/>
      <c r="GV241" s="4"/>
    </row>
    <row r="242" ht="14.25" customHeight="1">
      <c r="EC242" s="4"/>
      <c r="GV242" s="4"/>
    </row>
    <row r="243" ht="14.25" customHeight="1">
      <c r="EC243" s="4"/>
      <c r="GV243" s="4"/>
    </row>
    <row r="244" ht="14.25" customHeight="1">
      <c r="EC244" s="4"/>
      <c r="GV244" s="4"/>
    </row>
    <row r="245" ht="14.25" customHeight="1">
      <c r="EC245" s="4"/>
      <c r="GV245" s="4"/>
    </row>
    <row r="246" ht="14.25" customHeight="1">
      <c r="EC246" s="4"/>
      <c r="GV246" s="4"/>
    </row>
    <row r="247" ht="14.25" customHeight="1">
      <c r="EC247" s="4"/>
      <c r="GV247" s="4"/>
    </row>
    <row r="248" ht="14.25" customHeight="1">
      <c r="EC248" s="4"/>
      <c r="GV248" s="4"/>
    </row>
    <row r="249" ht="14.25" customHeight="1">
      <c r="EC249" s="4"/>
      <c r="GV249" s="4"/>
    </row>
    <row r="250" ht="14.25" customHeight="1">
      <c r="EC250" s="4"/>
      <c r="GV250" s="4"/>
    </row>
    <row r="251" ht="14.25" customHeight="1">
      <c r="EC251" s="4"/>
      <c r="GV251" s="4"/>
    </row>
    <row r="252" ht="14.25" customHeight="1">
      <c r="EC252" s="4"/>
      <c r="GV252" s="4"/>
    </row>
    <row r="253" ht="14.25" customHeight="1">
      <c r="EC253" s="4"/>
      <c r="GV253" s="4"/>
    </row>
    <row r="254" ht="14.25" customHeight="1">
      <c r="EC254" s="4"/>
      <c r="GV254" s="4"/>
    </row>
    <row r="255" ht="14.25" customHeight="1">
      <c r="EC255" s="4"/>
      <c r="GV255" s="4"/>
    </row>
    <row r="256" ht="14.25" customHeight="1">
      <c r="EC256" s="4"/>
      <c r="GV256" s="4"/>
    </row>
    <row r="257" ht="14.25" customHeight="1">
      <c r="EC257" s="4"/>
      <c r="GV257" s="4"/>
    </row>
    <row r="258" ht="14.25" customHeight="1">
      <c r="EC258" s="4"/>
      <c r="GV258" s="4"/>
    </row>
    <row r="259" ht="14.25" customHeight="1">
      <c r="EC259" s="4"/>
      <c r="GV259" s="4"/>
    </row>
    <row r="260" ht="14.25" customHeight="1">
      <c r="EC260" s="4"/>
      <c r="GV260" s="4"/>
    </row>
    <row r="261" ht="14.25" customHeight="1">
      <c r="EC261" s="4"/>
      <c r="GV261" s="4"/>
    </row>
    <row r="262" ht="14.25" customHeight="1">
      <c r="EC262" s="4"/>
      <c r="GV262" s="4"/>
    </row>
    <row r="263" ht="14.25" customHeight="1">
      <c r="EC263" s="4"/>
      <c r="GV263" s="4"/>
    </row>
    <row r="264" ht="14.25" customHeight="1">
      <c r="EC264" s="4"/>
      <c r="GV264" s="4"/>
    </row>
    <row r="265" ht="14.25" customHeight="1">
      <c r="EC265" s="4"/>
      <c r="GV265" s="4"/>
    </row>
    <row r="266" ht="14.25" customHeight="1">
      <c r="EC266" s="4"/>
      <c r="GV266" s="4"/>
    </row>
    <row r="267" ht="14.25" customHeight="1">
      <c r="EC267" s="4"/>
      <c r="GV267" s="4"/>
    </row>
    <row r="268" ht="14.25" customHeight="1">
      <c r="EC268" s="4"/>
      <c r="GV268" s="4"/>
    </row>
    <row r="269" ht="14.25" customHeight="1">
      <c r="EC269" s="4"/>
      <c r="GV269" s="4"/>
    </row>
    <row r="270" ht="14.25" customHeight="1">
      <c r="EC270" s="4"/>
      <c r="GV270" s="4"/>
    </row>
    <row r="271" ht="14.25" customHeight="1">
      <c r="EC271" s="4"/>
      <c r="GV271" s="4"/>
    </row>
    <row r="272" ht="14.25" customHeight="1">
      <c r="EC272" s="4"/>
      <c r="GV272" s="4"/>
    </row>
    <row r="273" ht="14.25" customHeight="1">
      <c r="EC273" s="4"/>
      <c r="GV273" s="4"/>
    </row>
    <row r="274" ht="14.25" customHeight="1">
      <c r="EC274" s="4"/>
      <c r="GV274" s="4"/>
    </row>
    <row r="275" ht="14.25" customHeight="1">
      <c r="EC275" s="4"/>
      <c r="GV275" s="4"/>
    </row>
    <row r="276" ht="14.25" customHeight="1">
      <c r="EC276" s="4"/>
      <c r="GV276" s="4"/>
    </row>
    <row r="277" ht="14.25" customHeight="1">
      <c r="EC277" s="4"/>
      <c r="GV277" s="4"/>
    </row>
    <row r="278" ht="14.25" customHeight="1">
      <c r="EC278" s="4"/>
      <c r="GV278" s="4"/>
    </row>
    <row r="279" ht="14.25" customHeight="1">
      <c r="EC279" s="4"/>
      <c r="GV279" s="4"/>
    </row>
    <row r="280" ht="14.25" customHeight="1">
      <c r="EC280" s="4"/>
      <c r="GV280" s="4"/>
    </row>
    <row r="281" ht="14.25" customHeight="1">
      <c r="EC281" s="4"/>
      <c r="GV281" s="4"/>
    </row>
    <row r="282" ht="14.25" customHeight="1">
      <c r="EC282" s="4"/>
      <c r="GV282" s="4"/>
    </row>
    <row r="283" ht="14.25" customHeight="1">
      <c r="EC283" s="4"/>
      <c r="GV283" s="4"/>
    </row>
    <row r="284" ht="14.25" customHeight="1">
      <c r="EC284" s="4"/>
      <c r="GV284" s="4"/>
    </row>
    <row r="285" ht="14.25" customHeight="1">
      <c r="EC285" s="4"/>
      <c r="GV285" s="4"/>
    </row>
    <row r="286" ht="14.25" customHeight="1">
      <c r="EC286" s="4"/>
      <c r="GV286" s="4"/>
    </row>
    <row r="287" ht="14.25" customHeight="1">
      <c r="EC287" s="4"/>
      <c r="GV287" s="4"/>
    </row>
    <row r="288" ht="14.25" customHeight="1">
      <c r="EC288" s="4"/>
      <c r="GV288" s="4"/>
    </row>
    <row r="289" ht="14.25" customHeight="1">
      <c r="EC289" s="4"/>
      <c r="GV289" s="4"/>
    </row>
    <row r="290" ht="14.25" customHeight="1">
      <c r="EC290" s="4"/>
      <c r="GV290" s="4"/>
    </row>
    <row r="291" ht="14.25" customHeight="1">
      <c r="EC291" s="4"/>
      <c r="GV291" s="4"/>
    </row>
    <row r="292" ht="14.25" customHeight="1">
      <c r="EC292" s="4"/>
      <c r="GV292" s="4"/>
    </row>
    <row r="293" ht="14.25" customHeight="1">
      <c r="EC293" s="4"/>
      <c r="GV293" s="4"/>
    </row>
    <row r="294" ht="14.25" customHeight="1">
      <c r="EC294" s="4"/>
      <c r="GV294" s="4"/>
    </row>
    <row r="295" ht="14.25" customHeight="1">
      <c r="EC295" s="4"/>
      <c r="GV295" s="4"/>
    </row>
    <row r="296" ht="14.25" customHeight="1">
      <c r="EC296" s="4"/>
      <c r="GV296" s="4"/>
    </row>
    <row r="297" ht="14.25" customHeight="1">
      <c r="EC297" s="4"/>
      <c r="GV297" s="4"/>
    </row>
    <row r="298" ht="14.25" customHeight="1">
      <c r="EC298" s="4"/>
      <c r="GV298" s="4"/>
    </row>
    <row r="299" ht="14.25" customHeight="1">
      <c r="EC299" s="4"/>
      <c r="GV299" s="4"/>
    </row>
    <row r="300" ht="14.25" customHeight="1">
      <c r="EC300" s="4"/>
      <c r="GV300" s="4"/>
    </row>
    <row r="301" ht="14.25" customHeight="1">
      <c r="EC301" s="4"/>
      <c r="GV301" s="4"/>
    </row>
    <row r="302" ht="14.25" customHeight="1">
      <c r="EC302" s="4"/>
      <c r="GV302" s="4"/>
    </row>
    <row r="303" ht="14.25" customHeight="1">
      <c r="EC303" s="4"/>
      <c r="GV303" s="4"/>
    </row>
    <row r="304" ht="14.25" customHeight="1">
      <c r="EC304" s="4"/>
      <c r="GV304" s="4"/>
    </row>
    <row r="305" ht="14.25" customHeight="1">
      <c r="EC305" s="4"/>
      <c r="GV305" s="4"/>
    </row>
    <row r="306" ht="14.25" customHeight="1">
      <c r="EC306" s="4"/>
      <c r="GV306" s="4"/>
    </row>
    <row r="307" ht="14.25" customHeight="1">
      <c r="EC307" s="4"/>
      <c r="GV307" s="4"/>
    </row>
    <row r="308" ht="14.25" customHeight="1">
      <c r="EC308" s="4"/>
      <c r="GV308" s="4"/>
    </row>
    <row r="309" ht="14.25" customHeight="1">
      <c r="EC309" s="4"/>
      <c r="GV309" s="4"/>
    </row>
    <row r="310" ht="14.25" customHeight="1">
      <c r="EC310" s="4"/>
      <c r="GV310" s="4"/>
    </row>
    <row r="311" ht="14.25" customHeight="1">
      <c r="EC311" s="4"/>
      <c r="GV311" s="4"/>
    </row>
    <row r="312" ht="14.25" customHeight="1">
      <c r="EC312" s="4"/>
      <c r="GV312" s="4"/>
    </row>
    <row r="313" ht="14.25" customHeight="1">
      <c r="EC313" s="4"/>
      <c r="GV313" s="4"/>
    </row>
    <row r="314" ht="14.25" customHeight="1">
      <c r="EC314" s="4"/>
      <c r="GV314" s="4"/>
    </row>
    <row r="315" ht="14.25" customHeight="1">
      <c r="EC315" s="4"/>
      <c r="GV315" s="4"/>
    </row>
    <row r="316" ht="14.25" customHeight="1">
      <c r="EC316" s="4"/>
      <c r="GV316" s="4"/>
    </row>
    <row r="317" ht="14.25" customHeight="1">
      <c r="EC317" s="4"/>
      <c r="GV317" s="4"/>
    </row>
    <row r="318" ht="14.25" customHeight="1">
      <c r="EC318" s="4"/>
      <c r="GV318" s="4"/>
    </row>
    <row r="319" ht="14.25" customHeight="1">
      <c r="EC319" s="4"/>
      <c r="GV319" s="4"/>
    </row>
    <row r="320" ht="14.25" customHeight="1">
      <c r="EC320" s="4"/>
      <c r="GV320" s="4"/>
    </row>
    <row r="321" ht="14.25" customHeight="1">
      <c r="EC321" s="4"/>
      <c r="GV321" s="4"/>
    </row>
    <row r="322" ht="14.25" customHeight="1">
      <c r="EC322" s="4"/>
      <c r="GV322" s="4"/>
    </row>
    <row r="323" ht="14.25" customHeight="1">
      <c r="EC323" s="4"/>
      <c r="GV323" s="4"/>
    </row>
    <row r="324" ht="14.25" customHeight="1">
      <c r="EC324" s="4"/>
      <c r="GV324" s="4"/>
    </row>
    <row r="325" ht="14.25" customHeight="1">
      <c r="EC325" s="4"/>
      <c r="GV325" s="4"/>
    </row>
    <row r="326" ht="14.25" customHeight="1">
      <c r="EC326" s="4"/>
      <c r="GV326" s="4"/>
    </row>
    <row r="327" ht="14.25" customHeight="1">
      <c r="EC327" s="4"/>
      <c r="GV327" s="4"/>
    </row>
    <row r="328" ht="14.25" customHeight="1">
      <c r="EC328" s="4"/>
      <c r="GV328" s="4"/>
    </row>
    <row r="329" ht="14.25" customHeight="1">
      <c r="EC329" s="4"/>
      <c r="GV329" s="4"/>
    </row>
    <row r="330" ht="14.25" customHeight="1">
      <c r="EC330" s="4"/>
      <c r="GV330" s="4"/>
    </row>
    <row r="331" ht="14.25" customHeight="1">
      <c r="EC331" s="4"/>
      <c r="GV331" s="4"/>
    </row>
    <row r="332" ht="14.25" customHeight="1">
      <c r="EC332" s="4"/>
      <c r="GV332" s="4"/>
    </row>
    <row r="333" ht="14.25" customHeight="1">
      <c r="EC333" s="4"/>
      <c r="GV333" s="4"/>
    </row>
    <row r="334" ht="14.25" customHeight="1">
      <c r="EC334" s="4"/>
      <c r="GV334" s="4"/>
    </row>
    <row r="335" ht="14.25" customHeight="1">
      <c r="EC335" s="4"/>
      <c r="GV335" s="4"/>
    </row>
    <row r="336" ht="14.25" customHeight="1">
      <c r="EC336" s="4"/>
      <c r="GV336" s="4"/>
    </row>
    <row r="337" ht="14.25" customHeight="1">
      <c r="EC337" s="4"/>
      <c r="GV337" s="4"/>
    </row>
    <row r="338" ht="14.25" customHeight="1">
      <c r="EC338" s="4"/>
      <c r="GV338" s="4"/>
    </row>
    <row r="339" ht="14.25" customHeight="1">
      <c r="EC339" s="4"/>
      <c r="GV339" s="4"/>
    </row>
    <row r="340" ht="14.25" customHeight="1">
      <c r="EC340" s="4"/>
      <c r="GV340" s="4"/>
    </row>
    <row r="341" ht="14.25" customHeight="1">
      <c r="EC341" s="4"/>
      <c r="GV341" s="4"/>
    </row>
    <row r="342" ht="14.25" customHeight="1">
      <c r="EC342" s="4"/>
      <c r="GV342" s="4"/>
    </row>
    <row r="343" ht="14.25" customHeight="1">
      <c r="EC343" s="4"/>
      <c r="GV343" s="4"/>
    </row>
    <row r="344" ht="14.25" customHeight="1">
      <c r="EC344" s="4"/>
      <c r="GV344" s="4"/>
    </row>
    <row r="345" ht="14.25" customHeight="1">
      <c r="EC345" s="4"/>
      <c r="GV345" s="4"/>
    </row>
    <row r="346" ht="14.25" customHeight="1">
      <c r="EC346" s="4"/>
      <c r="GV346" s="4"/>
    </row>
    <row r="347" ht="14.25" customHeight="1">
      <c r="EC347" s="4"/>
      <c r="GV347" s="4"/>
    </row>
    <row r="348" ht="14.25" customHeight="1">
      <c r="EC348" s="4"/>
      <c r="GV348" s="4"/>
    </row>
    <row r="349" ht="14.25" customHeight="1">
      <c r="EC349" s="4"/>
      <c r="GV349" s="4"/>
    </row>
    <row r="350" ht="14.25" customHeight="1">
      <c r="EC350" s="4"/>
      <c r="GV350" s="4"/>
    </row>
    <row r="351" ht="14.25" customHeight="1">
      <c r="EC351" s="4"/>
      <c r="GV351" s="4"/>
    </row>
    <row r="352" ht="14.25" customHeight="1">
      <c r="EC352" s="4"/>
      <c r="GV352" s="4"/>
    </row>
    <row r="353" ht="14.25" customHeight="1">
      <c r="EC353" s="4"/>
      <c r="GV353" s="4"/>
    </row>
    <row r="354" ht="14.25" customHeight="1">
      <c r="EC354" s="4"/>
      <c r="GV354" s="4"/>
    </row>
    <row r="355" ht="14.25" customHeight="1">
      <c r="EC355" s="4"/>
      <c r="GV355" s="4"/>
    </row>
    <row r="356" ht="14.25" customHeight="1">
      <c r="EC356" s="4"/>
      <c r="GV356" s="4"/>
    </row>
    <row r="357" ht="14.25" customHeight="1">
      <c r="EC357" s="4"/>
      <c r="GV357" s="4"/>
    </row>
    <row r="358" ht="14.25" customHeight="1">
      <c r="EC358" s="4"/>
      <c r="GV358" s="4"/>
    </row>
    <row r="359" ht="14.25" customHeight="1">
      <c r="EC359" s="4"/>
      <c r="GV359" s="4"/>
    </row>
    <row r="360" ht="14.25" customHeight="1">
      <c r="EC360" s="4"/>
      <c r="GV360" s="4"/>
    </row>
    <row r="361" ht="14.25" customHeight="1">
      <c r="EC361" s="4"/>
      <c r="GV361" s="4"/>
    </row>
    <row r="362" ht="14.25" customHeight="1">
      <c r="EC362" s="4"/>
      <c r="GV362" s="4"/>
    </row>
    <row r="363" ht="14.25" customHeight="1">
      <c r="EC363" s="4"/>
      <c r="GV363" s="4"/>
    </row>
    <row r="364" ht="14.25" customHeight="1">
      <c r="EC364" s="4"/>
      <c r="GV364" s="4"/>
    </row>
    <row r="365" ht="14.25" customHeight="1">
      <c r="EC365" s="4"/>
      <c r="GV365" s="4"/>
    </row>
    <row r="366" ht="14.25" customHeight="1">
      <c r="EC366" s="4"/>
      <c r="GV366" s="4"/>
    </row>
    <row r="367" ht="14.25" customHeight="1">
      <c r="EC367" s="4"/>
      <c r="GV367" s="4"/>
    </row>
    <row r="368" ht="14.25" customHeight="1">
      <c r="EC368" s="4"/>
      <c r="GV368" s="4"/>
    </row>
    <row r="369" ht="14.25" customHeight="1">
      <c r="EC369" s="4"/>
      <c r="GV369" s="4"/>
    </row>
    <row r="370" ht="14.25" customHeight="1">
      <c r="EC370" s="4"/>
      <c r="GV370" s="4"/>
    </row>
    <row r="371" ht="14.25" customHeight="1">
      <c r="EC371" s="4"/>
      <c r="GV371" s="4"/>
    </row>
    <row r="372" ht="14.25" customHeight="1">
      <c r="EC372" s="4"/>
      <c r="GV372" s="4"/>
    </row>
    <row r="373" ht="14.25" customHeight="1">
      <c r="EC373" s="4"/>
      <c r="GV373" s="4"/>
    </row>
    <row r="374" ht="14.25" customHeight="1">
      <c r="EC374" s="4"/>
      <c r="GV374" s="4"/>
    </row>
    <row r="375" ht="14.25" customHeight="1">
      <c r="EC375" s="4"/>
      <c r="GV375" s="4"/>
    </row>
    <row r="376" ht="14.25" customHeight="1">
      <c r="EC376" s="4"/>
      <c r="GV376" s="4"/>
    </row>
    <row r="377" ht="14.25" customHeight="1">
      <c r="EC377" s="4"/>
      <c r="GV377" s="4"/>
    </row>
    <row r="378" ht="14.25" customHeight="1">
      <c r="EC378" s="4"/>
      <c r="GV378" s="4"/>
    </row>
    <row r="379" ht="14.25" customHeight="1">
      <c r="EC379" s="4"/>
      <c r="GV379" s="4"/>
    </row>
    <row r="380" ht="14.25" customHeight="1">
      <c r="EC380" s="4"/>
      <c r="GV380" s="4"/>
    </row>
    <row r="381" ht="14.25" customHeight="1">
      <c r="EC381" s="4"/>
      <c r="GV381" s="4"/>
    </row>
    <row r="382" ht="14.25" customHeight="1">
      <c r="EC382" s="4"/>
      <c r="GV382" s="4"/>
    </row>
    <row r="383" ht="14.25" customHeight="1">
      <c r="EC383" s="4"/>
      <c r="GV383" s="4"/>
    </row>
    <row r="384" ht="14.25" customHeight="1">
      <c r="EC384" s="4"/>
      <c r="GV384" s="4"/>
    </row>
    <row r="385" ht="14.25" customHeight="1">
      <c r="EC385" s="4"/>
      <c r="GV385" s="4"/>
    </row>
    <row r="386" ht="14.25" customHeight="1">
      <c r="EC386" s="4"/>
      <c r="GV386" s="4"/>
    </row>
    <row r="387" ht="14.25" customHeight="1">
      <c r="EC387" s="4"/>
      <c r="GV387" s="4"/>
    </row>
    <row r="388" ht="14.25" customHeight="1">
      <c r="EC388" s="4"/>
      <c r="GV388" s="4"/>
    </row>
    <row r="389" ht="14.25" customHeight="1">
      <c r="EC389" s="4"/>
      <c r="GV389" s="4"/>
    </row>
    <row r="390" ht="14.25" customHeight="1">
      <c r="EC390" s="4"/>
      <c r="GV390" s="4"/>
    </row>
    <row r="391" ht="14.25" customHeight="1">
      <c r="EC391" s="4"/>
      <c r="GV391" s="4"/>
    </row>
    <row r="392" ht="14.25" customHeight="1">
      <c r="EC392" s="4"/>
      <c r="GV392" s="4"/>
    </row>
    <row r="393" ht="14.25" customHeight="1">
      <c r="EC393" s="4"/>
      <c r="GV393" s="4"/>
    </row>
    <row r="394" ht="14.25" customHeight="1">
      <c r="EC394" s="4"/>
      <c r="GV394" s="4"/>
    </row>
    <row r="395" ht="14.25" customHeight="1">
      <c r="EC395" s="4"/>
      <c r="GV395" s="4"/>
    </row>
    <row r="396" ht="14.25" customHeight="1">
      <c r="EC396" s="4"/>
      <c r="GV396" s="4"/>
    </row>
    <row r="397" ht="14.25" customHeight="1">
      <c r="EC397" s="4"/>
      <c r="GV397" s="4"/>
    </row>
    <row r="398" ht="14.25" customHeight="1">
      <c r="EC398" s="4"/>
      <c r="GV398" s="4"/>
    </row>
    <row r="399" ht="14.25" customHeight="1">
      <c r="EC399" s="4"/>
      <c r="GV399" s="4"/>
    </row>
    <row r="400" ht="14.25" customHeight="1">
      <c r="EC400" s="4"/>
      <c r="GV400" s="4"/>
    </row>
    <row r="401" ht="14.25" customHeight="1">
      <c r="EC401" s="4"/>
      <c r="GV401" s="4"/>
    </row>
    <row r="402" ht="14.25" customHeight="1">
      <c r="EC402" s="4"/>
      <c r="GV402" s="4"/>
    </row>
    <row r="403" ht="14.25" customHeight="1">
      <c r="EC403" s="4"/>
      <c r="GV403" s="4"/>
    </row>
    <row r="404" ht="14.25" customHeight="1">
      <c r="EC404" s="4"/>
      <c r="GV404" s="4"/>
    </row>
    <row r="405" ht="14.25" customHeight="1">
      <c r="EC405" s="4"/>
      <c r="GV405" s="4"/>
    </row>
    <row r="406" ht="14.25" customHeight="1">
      <c r="EC406" s="4"/>
      <c r="GV406" s="4"/>
    </row>
    <row r="407" ht="14.25" customHeight="1">
      <c r="EC407" s="4"/>
      <c r="GV407" s="4"/>
    </row>
    <row r="408" ht="14.25" customHeight="1">
      <c r="EC408" s="4"/>
      <c r="GV408" s="4"/>
    </row>
    <row r="409" ht="14.25" customHeight="1">
      <c r="EC409" s="4"/>
      <c r="GV409" s="4"/>
    </row>
    <row r="410" ht="14.25" customHeight="1">
      <c r="EC410" s="4"/>
      <c r="GV410" s="4"/>
    </row>
    <row r="411" ht="14.25" customHeight="1">
      <c r="EC411" s="4"/>
      <c r="GV411" s="4"/>
    </row>
    <row r="412" ht="14.25" customHeight="1">
      <c r="EC412" s="4"/>
      <c r="GV412" s="4"/>
    </row>
    <row r="413" ht="14.25" customHeight="1">
      <c r="EC413" s="4"/>
      <c r="GV413" s="4"/>
    </row>
    <row r="414" ht="14.25" customHeight="1">
      <c r="EC414" s="4"/>
      <c r="GV414" s="4"/>
    </row>
    <row r="415" ht="14.25" customHeight="1">
      <c r="EC415" s="4"/>
      <c r="GV415" s="4"/>
    </row>
    <row r="416" ht="14.25" customHeight="1">
      <c r="EC416" s="4"/>
      <c r="GV416" s="4"/>
    </row>
    <row r="417" ht="14.25" customHeight="1">
      <c r="EC417" s="4"/>
      <c r="GV417" s="4"/>
    </row>
    <row r="418" ht="14.25" customHeight="1">
      <c r="EC418" s="4"/>
      <c r="GV418" s="4"/>
    </row>
    <row r="419" ht="14.25" customHeight="1">
      <c r="EC419" s="4"/>
      <c r="GV419" s="4"/>
    </row>
    <row r="420" ht="14.25" customHeight="1">
      <c r="EC420" s="4"/>
      <c r="GV420" s="4"/>
    </row>
    <row r="421" ht="14.25" customHeight="1">
      <c r="EC421" s="4"/>
      <c r="GV421" s="4"/>
    </row>
    <row r="422" ht="14.25" customHeight="1">
      <c r="EC422" s="4"/>
      <c r="GV422" s="4"/>
    </row>
    <row r="423" ht="14.25" customHeight="1">
      <c r="EC423" s="4"/>
      <c r="GV423" s="4"/>
    </row>
    <row r="424" ht="14.25" customHeight="1">
      <c r="EC424" s="4"/>
      <c r="GV424" s="4"/>
    </row>
    <row r="425" ht="14.25" customHeight="1">
      <c r="EC425" s="4"/>
      <c r="GV425" s="4"/>
    </row>
    <row r="426" ht="14.25" customHeight="1">
      <c r="EC426" s="4"/>
      <c r="GV426" s="4"/>
    </row>
    <row r="427" ht="14.25" customHeight="1">
      <c r="EC427" s="4"/>
      <c r="GV427" s="4"/>
    </row>
    <row r="428" ht="14.25" customHeight="1">
      <c r="EC428" s="4"/>
      <c r="GV428" s="4"/>
    </row>
    <row r="429" ht="14.25" customHeight="1">
      <c r="EC429" s="4"/>
      <c r="GV429" s="4"/>
    </row>
    <row r="430" ht="14.25" customHeight="1">
      <c r="EC430" s="4"/>
      <c r="GV430" s="4"/>
    </row>
    <row r="431" ht="14.25" customHeight="1">
      <c r="EC431" s="4"/>
      <c r="GV431" s="4"/>
    </row>
    <row r="432" ht="14.25" customHeight="1">
      <c r="EC432" s="4"/>
      <c r="GV432" s="4"/>
    </row>
    <row r="433" ht="14.25" customHeight="1">
      <c r="EC433" s="4"/>
      <c r="GV433" s="4"/>
    </row>
    <row r="434" ht="14.25" customHeight="1">
      <c r="EC434" s="4"/>
      <c r="GV434" s="4"/>
    </row>
    <row r="435" ht="14.25" customHeight="1">
      <c r="EC435" s="4"/>
      <c r="GV435" s="4"/>
    </row>
    <row r="436" ht="14.25" customHeight="1">
      <c r="EC436" s="4"/>
      <c r="GV436" s="4"/>
    </row>
    <row r="437" ht="14.25" customHeight="1">
      <c r="EC437" s="4"/>
      <c r="GV437" s="4"/>
    </row>
    <row r="438" ht="14.25" customHeight="1">
      <c r="EC438" s="4"/>
      <c r="GV438" s="4"/>
    </row>
    <row r="439" ht="14.25" customHeight="1">
      <c r="EC439" s="4"/>
      <c r="GV439" s="4"/>
    </row>
    <row r="440" ht="14.25" customHeight="1">
      <c r="EC440" s="4"/>
      <c r="GV440" s="4"/>
    </row>
    <row r="441" ht="14.25" customHeight="1">
      <c r="EC441" s="4"/>
      <c r="GV441" s="4"/>
    </row>
    <row r="442" ht="14.25" customHeight="1">
      <c r="EC442" s="4"/>
      <c r="GV442" s="4"/>
    </row>
    <row r="443" ht="14.25" customHeight="1">
      <c r="EC443" s="4"/>
      <c r="GV443" s="4"/>
    </row>
    <row r="444" ht="14.25" customHeight="1">
      <c r="EC444" s="4"/>
      <c r="GV444" s="4"/>
    </row>
    <row r="445" ht="14.25" customHeight="1">
      <c r="EC445" s="4"/>
      <c r="GV445" s="4"/>
    </row>
    <row r="446" ht="14.25" customHeight="1">
      <c r="EC446" s="4"/>
      <c r="GV446" s="4"/>
    </row>
    <row r="447" ht="14.25" customHeight="1">
      <c r="EC447" s="4"/>
      <c r="GV447" s="4"/>
    </row>
    <row r="448" ht="14.25" customHeight="1">
      <c r="EC448" s="4"/>
      <c r="GV448" s="4"/>
    </row>
    <row r="449" ht="14.25" customHeight="1">
      <c r="EC449" s="4"/>
      <c r="GV449" s="4"/>
    </row>
    <row r="450" ht="14.25" customHeight="1">
      <c r="EC450" s="4"/>
      <c r="GV450" s="4"/>
    </row>
    <row r="451" ht="14.25" customHeight="1">
      <c r="EC451" s="4"/>
      <c r="GV451" s="4"/>
    </row>
    <row r="452" ht="14.25" customHeight="1">
      <c r="EC452" s="4"/>
      <c r="GV452" s="4"/>
    </row>
    <row r="453" ht="14.25" customHeight="1">
      <c r="EC453" s="4"/>
      <c r="GV453" s="4"/>
    </row>
    <row r="454" ht="14.25" customHeight="1">
      <c r="EC454" s="4"/>
      <c r="GV454" s="4"/>
    </row>
    <row r="455" ht="14.25" customHeight="1">
      <c r="EC455" s="4"/>
      <c r="GV455" s="4"/>
    </row>
    <row r="456" ht="14.25" customHeight="1">
      <c r="EC456" s="4"/>
      <c r="GV456" s="4"/>
    </row>
    <row r="457" ht="14.25" customHeight="1">
      <c r="EC457" s="4"/>
      <c r="GV457" s="4"/>
    </row>
    <row r="458" ht="14.25" customHeight="1">
      <c r="EC458" s="4"/>
      <c r="GV458" s="4"/>
    </row>
    <row r="459" ht="14.25" customHeight="1">
      <c r="EC459" s="4"/>
      <c r="GV459" s="4"/>
    </row>
    <row r="460" ht="14.25" customHeight="1">
      <c r="EC460" s="4"/>
      <c r="GV460" s="4"/>
    </row>
    <row r="461" ht="14.25" customHeight="1">
      <c r="EC461" s="4"/>
      <c r="GV461" s="4"/>
    </row>
    <row r="462" ht="14.25" customHeight="1">
      <c r="EC462" s="4"/>
      <c r="GV462" s="4"/>
    </row>
    <row r="463" ht="14.25" customHeight="1">
      <c r="EC463" s="4"/>
      <c r="GV463" s="4"/>
    </row>
    <row r="464" ht="14.25" customHeight="1">
      <c r="EC464" s="4"/>
      <c r="GV464" s="4"/>
    </row>
    <row r="465" ht="14.25" customHeight="1">
      <c r="EC465" s="4"/>
      <c r="GV465" s="4"/>
    </row>
    <row r="466" ht="14.25" customHeight="1">
      <c r="EC466" s="4"/>
      <c r="GV466" s="4"/>
    </row>
    <row r="467" ht="14.25" customHeight="1">
      <c r="EC467" s="4"/>
      <c r="GV467" s="4"/>
    </row>
    <row r="468" ht="14.25" customHeight="1">
      <c r="EC468" s="4"/>
      <c r="GV468" s="4"/>
    </row>
    <row r="469" ht="14.25" customHeight="1">
      <c r="EC469" s="4"/>
      <c r="GV469" s="4"/>
    </row>
    <row r="470" ht="14.25" customHeight="1">
      <c r="EC470" s="4"/>
      <c r="GV470" s="4"/>
    </row>
    <row r="471" ht="14.25" customHeight="1">
      <c r="EC471" s="4"/>
      <c r="GV471" s="4"/>
    </row>
    <row r="472" ht="14.25" customHeight="1">
      <c r="EC472" s="4"/>
      <c r="GV472" s="4"/>
    </row>
    <row r="473" ht="14.25" customHeight="1">
      <c r="EC473" s="4"/>
      <c r="GV473" s="4"/>
    </row>
    <row r="474" ht="14.25" customHeight="1">
      <c r="EC474" s="4"/>
      <c r="GV474" s="4"/>
    </row>
    <row r="475" ht="14.25" customHeight="1">
      <c r="EC475" s="4"/>
      <c r="GV475" s="4"/>
    </row>
    <row r="476" ht="14.25" customHeight="1">
      <c r="EC476" s="4"/>
      <c r="GV476" s="4"/>
    </row>
    <row r="477" ht="14.25" customHeight="1">
      <c r="EC477" s="4"/>
      <c r="GV477" s="4"/>
    </row>
    <row r="478" ht="14.25" customHeight="1">
      <c r="EC478" s="4"/>
      <c r="GV478" s="4"/>
    </row>
    <row r="479" ht="14.25" customHeight="1">
      <c r="EC479" s="4"/>
      <c r="GV479" s="4"/>
    </row>
    <row r="480" ht="14.25" customHeight="1">
      <c r="EC480" s="4"/>
      <c r="GV480" s="4"/>
    </row>
    <row r="481" ht="14.25" customHeight="1">
      <c r="EC481" s="4"/>
      <c r="GV481" s="4"/>
    </row>
    <row r="482" ht="14.25" customHeight="1">
      <c r="EC482" s="4"/>
      <c r="GV482" s="4"/>
    </row>
    <row r="483" ht="14.25" customHeight="1">
      <c r="EC483" s="4"/>
      <c r="GV483" s="4"/>
    </row>
    <row r="484" ht="14.25" customHeight="1">
      <c r="EC484" s="4"/>
      <c r="GV484" s="4"/>
    </row>
    <row r="485" ht="14.25" customHeight="1">
      <c r="EC485" s="4"/>
      <c r="GV485" s="4"/>
    </row>
    <row r="486" ht="14.25" customHeight="1">
      <c r="EC486" s="4"/>
      <c r="GV486" s="4"/>
    </row>
    <row r="487" ht="14.25" customHeight="1">
      <c r="EC487" s="4"/>
      <c r="GV487" s="4"/>
    </row>
    <row r="488" ht="14.25" customHeight="1">
      <c r="EC488" s="4"/>
      <c r="GV488" s="4"/>
    </row>
    <row r="489" ht="14.25" customHeight="1">
      <c r="EC489" s="4"/>
      <c r="GV489" s="4"/>
    </row>
    <row r="490" ht="14.25" customHeight="1">
      <c r="EC490" s="4"/>
      <c r="GV490" s="4"/>
    </row>
    <row r="491" ht="14.25" customHeight="1">
      <c r="EC491" s="4"/>
      <c r="GV491" s="4"/>
    </row>
    <row r="492" ht="14.25" customHeight="1">
      <c r="EC492" s="4"/>
      <c r="GV492" s="4"/>
    </row>
    <row r="493" ht="14.25" customHeight="1">
      <c r="EC493" s="4"/>
      <c r="GV493" s="4"/>
    </row>
    <row r="494" ht="14.25" customHeight="1">
      <c r="EC494" s="4"/>
      <c r="GV494" s="4"/>
    </row>
    <row r="495" ht="14.25" customHeight="1">
      <c r="EC495" s="4"/>
      <c r="GV495" s="4"/>
    </row>
    <row r="496" ht="14.25" customHeight="1">
      <c r="EC496" s="4"/>
      <c r="GV496" s="4"/>
    </row>
    <row r="497" ht="14.25" customHeight="1">
      <c r="EC497" s="4"/>
      <c r="GV497" s="4"/>
    </row>
    <row r="498" ht="14.25" customHeight="1">
      <c r="EC498" s="4"/>
      <c r="GV498" s="4"/>
    </row>
    <row r="499" ht="14.25" customHeight="1">
      <c r="EC499" s="4"/>
      <c r="GV499" s="4"/>
    </row>
    <row r="500" ht="14.25" customHeight="1">
      <c r="EC500" s="4"/>
      <c r="GV500" s="4"/>
    </row>
    <row r="501" ht="14.25" customHeight="1">
      <c r="EC501" s="4"/>
      <c r="GV501" s="4"/>
    </row>
    <row r="502" ht="14.25" customHeight="1">
      <c r="EC502" s="4"/>
      <c r="GV502" s="4"/>
    </row>
    <row r="503" ht="14.25" customHeight="1">
      <c r="EC503" s="4"/>
      <c r="GV503" s="4"/>
    </row>
    <row r="504" ht="14.25" customHeight="1">
      <c r="EC504" s="4"/>
      <c r="GV504" s="4"/>
    </row>
    <row r="505" ht="14.25" customHeight="1">
      <c r="EC505" s="4"/>
      <c r="GV505" s="4"/>
    </row>
    <row r="506" ht="14.25" customHeight="1">
      <c r="EC506" s="4"/>
      <c r="GV506" s="4"/>
    </row>
    <row r="507" ht="14.25" customHeight="1">
      <c r="EC507" s="4"/>
      <c r="GV507" s="4"/>
    </row>
    <row r="508" ht="14.25" customHeight="1">
      <c r="EC508" s="4"/>
      <c r="GV508" s="4"/>
    </row>
    <row r="509" ht="14.25" customHeight="1">
      <c r="EC509" s="4"/>
      <c r="GV509" s="4"/>
    </row>
    <row r="510" ht="14.25" customHeight="1">
      <c r="EC510" s="4"/>
      <c r="GV510" s="4"/>
    </row>
    <row r="511" ht="14.25" customHeight="1">
      <c r="EC511" s="4"/>
      <c r="GV511" s="4"/>
    </row>
    <row r="512" ht="14.25" customHeight="1">
      <c r="EC512" s="4"/>
      <c r="GV512" s="4"/>
    </row>
    <row r="513" ht="14.25" customHeight="1">
      <c r="EC513" s="4"/>
      <c r="GV513" s="4"/>
    </row>
    <row r="514" ht="14.25" customHeight="1">
      <c r="EC514" s="4"/>
      <c r="GV514" s="4"/>
    </row>
    <row r="515" ht="14.25" customHeight="1">
      <c r="EC515" s="4"/>
      <c r="GV515" s="4"/>
    </row>
    <row r="516" ht="14.25" customHeight="1">
      <c r="EC516" s="4"/>
      <c r="GV516" s="4"/>
    </row>
    <row r="517" ht="14.25" customHeight="1">
      <c r="EC517" s="4"/>
      <c r="GV517" s="4"/>
    </row>
    <row r="518" ht="14.25" customHeight="1">
      <c r="EC518" s="4"/>
      <c r="GV518" s="4"/>
    </row>
    <row r="519" ht="14.25" customHeight="1">
      <c r="EC519" s="4"/>
      <c r="GV519" s="4"/>
    </row>
    <row r="520" ht="14.25" customHeight="1">
      <c r="EC520" s="4"/>
      <c r="GV520" s="4"/>
    </row>
    <row r="521" ht="14.25" customHeight="1">
      <c r="EC521" s="4"/>
      <c r="GV521" s="4"/>
    </row>
    <row r="522" ht="14.25" customHeight="1">
      <c r="EC522" s="4"/>
      <c r="GV522" s="4"/>
    </row>
    <row r="523" ht="14.25" customHeight="1">
      <c r="EC523" s="4"/>
      <c r="GV523" s="4"/>
    </row>
    <row r="524" ht="14.25" customHeight="1">
      <c r="EC524" s="4"/>
      <c r="GV524" s="4"/>
    </row>
    <row r="525" ht="14.25" customHeight="1">
      <c r="EC525" s="4"/>
      <c r="GV525" s="4"/>
    </row>
    <row r="526" ht="14.25" customHeight="1">
      <c r="EC526" s="4"/>
      <c r="GV526" s="4"/>
    </row>
    <row r="527" ht="14.25" customHeight="1">
      <c r="EC527" s="4"/>
      <c r="GV527" s="4"/>
    </row>
    <row r="528" ht="14.25" customHeight="1">
      <c r="EC528" s="4"/>
      <c r="GV528" s="4"/>
    </row>
    <row r="529" ht="14.25" customHeight="1">
      <c r="EC529" s="4"/>
      <c r="GV529" s="4"/>
    </row>
    <row r="530" ht="14.25" customHeight="1">
      <c r="EC530" s="4"/>
      <c r="GV530" s="4"/>
    </row>
    <row r="531" ht="14.25" customHeight="1">
      <c r="EC531" s="4"/>
      <c r="GV531" s="4"/>
    </row>
    <row r="532" ht="14.25" customHeight="1">
      <c r="EC532" s="4"/>
      <c r="GV532" s="4"/>
    </row>
    <row r="533" ht="14.25" customHeight="1">
      <c r="EC533" s="4"/>
      <c r="GV533" s="4"/>
    </row>
    <row r="534" ht="14.25" customHeight="1">
      <c r="EC534" s="4"/>
      <c r="GV534" s="4"/>
    </row>
    <row r="535" ht="14.25" customHeight="1">
      <c r="EC535" s="4"/>
      <c r="GV535" s="4"/>
    </row>
    <row r="536" ht="14.25" customHeight="1">
      <c r="EC536" s="4"/>
      <c r="GV536" s="4"/>
    </row>
    <row r="537" ht="14.25" customHeight="1">
      <c r="EC537" s="4"/>
      <c r="GV537" s="4"/>
    </row>
    <row r="538" ht="14.25" customHeight="1">
      <c r="EC538" s="4"/>
      <c r="GV538" s="4"/>
    </row>
    <row r="539" ht="14.25" customHeight="1">
      <c r="EC539" s="4"/>
      <c r="GV539" s="4"/>
    </row>
    <row r="540" ht="14.25" customHeight="1">
      <c r="EC540" s="4"/>
      <c r="GV540" s="4"/>
    </row>
    <row r="541" ht="14.25" customHeight="1">
      <c r="EC541" s="4"/>
      <c r="GV541" s="4"/>
    </row>
    <row r="542" ht="14.25" customHeight="1">
      <c r="EC542" s="4"/>
      <c r="GV542" s="4"/>
    </row>
    <row r="543" ht="14.25" customHeight="1">
      <c r="EC543" s="4"/>
      <c r="GV543" s="4"/>
    </row>
    <row r="544" ht="14.25" customHeight="1">
      <c r="EC544" s="4"/>
      <c r="GV544" s="4"/>
    </row>
    <row r="545" ht="14.25" customHeight="1">
      <c r="EC545" s="4"/>
      <c r="GV545" s="4"/>
    </row>
    <row r="546" ht="14.25" customHeight="1">
      <c r="EC546" s="4"/>
      <c r="GV546" s="4"/>
    </row>
    <row r="547" ht="14.25" customHeight="1">
      <c r="EC547" s="4"/>
      <c r="GV547" s="4"/>
    </row>
    <row r="548" ht="14.25" customHeight="1">
      <c r="EC548" s="4"/>
      <c r="GV548" s="4"/>
    </row>
    <row r="549" ht="14.25" customHeight="1">
      <c r="EC549" s="4"/>
      <c r="GV549" s="4"/>
    </row>
    <row r="550" ht="14.25" customHeight="1">
      <c r="EC550" s="4"/>
      <c r="GV550" s="4"/>
    </row>
    <row r="551" ht="14.25" customHeight="1">
      <c r="EC551" s="4"/>
      <c r="GV551" s="4"/>
    </row>
    <row r="552" ht="14.25" customHeight="1">
      <c r="EC552" s="4"/>
      <c r="GV552" s="4"/>
    </row>
    <row r="553" ht="14.25" customHeight="1">
      <c r="EC553" s="4"/>
      <c r="GV553" s="4"/>
    </row>
    <row r="554" ht="14.25" customHeight="1">
      <c r="EC554" s="4"/>
      <c r="GV554" s="4"/>
    </row>
    <row r="555" ht="14.25" customHeight="1">
      <c r="EC555" s="4"/>
      <c r="GV555" s="4"/>
    </row>
    <row r="556" ht="14.25" customHeight="1">
      <c r="EC556" s="4"/>
      <c r="GV556" s="4"/>
    </row>
    <row r="557" ht="14.25" customHeight="1">
      <c r="EC557" s="4"/>
      <c r="GV557" s="4"/>
    </row>
    <row r="558" ht="14.25" customHeight="1">
      <c r="EC558" s="4"/>
      <c r="GV558" s="4"/>
    </row>
    <row r="559" ht="14.25" customHeight="1">
      <c r="EC559" s="4"/>
      <c r="GV559" s="4"/>
    </row>
    <row r="560" ht="14.25" customHeight="1">
      <c r="EC560" s="4"/>
      <c r="GV560" s="4"/>
    </row>
    <row r="561" ht="14.25" customHeight="1">
      <c r="EC561" s="4"/>
      <c r="GV561" s="4"/>
    </row>
    <row r="562" ht="14.25" customHeight="1">
      <c r="EC562" s="4"/>
      <c r="GV562" s="4"/>
    </row>
    <row r="563" ht="14.25" customHeight="1">
      <c r="EC563" s="4"/>
      <c r="GV563" s="4"/>
    </row>
    <row r="564" ht="14.25" customHeight="1">
      <c r="EC564" s="4"/>
      <c r="GV564" s="4"/>
    </row>
    <row r="565" ht="14.25" customHeight="1">
      <c r="EC565" s="4"/>
      <c r="GV565" s="4"/>
    </row>
    <row r="566" ht="14.25" customHeight="1">
      <c r="EC566" s="4"/>
      <c r="GV566" s="4"/>
    </row>
    <row r="567" ht="14.25" customHeight="1">
      <c r="EC567" s="4"/>
      <c r="GV567" s="4"/>
    </row>
    <row r="568" ht="14.25" customHeight="1">
      <c r="EC568" s="4"/>
      <c r="GV568" s="4"/>
    </row>
    <row r="569" ht="14.25" customHeight="1">
      <c r="EC569" s="4"/>
      <c r="GV569" s="4"/>
    </row>
    <row r="570" ht="14.25" customHeight="1">
      <c r="EC570" s="4"/>
      <c r="GV570" s="4"/>
    </row>
    <row r="571" ht="14.25" customHeight="1">
      <c r="EC571" s="4"/>
      <c r="GV571" s="4"/>
    </row>
    <row r="572" ht="14.25" customHeight="1">
      <c r="EC572" s="4"/>
      <c r="GV572" s="4"/>
    </row>
    <row r="573" ht="14.25" customHeight="1">
      <c r="EC573" s="4"/>
      <c r="GV573" s="4"/>
    </row>
    <row r="574" ht="14.25" customHeight="1">
      <c r="EC574" s="4"/>
      <c r="GV574" s="4"/>
    </row>
    <row r="575" ht="14.25" customHeight="1">
      <c r="EC575" s="4"/>
      <c r="GV575" s="4"/>
    </row>
    <row r="576" ht="14.25" customHeight="1">
      <c r="EC576" s="4"/>
      <c r="GV576" s="4"/>
    </row>
    <row r="577" ht="14.25" customHeight="1">
      <c r="EC577" s="4"/>
      <c r="GV577" s="4"/>
    </row>
    <row r="578" ht="14.25" customHeight="1">
      <c r="EC578" s="4"/>
      <c r="GV578" s="4"/>
    </row>
    <row r="579" ht="14.25" customHeight="1">
      <c r="EC579" s="4"/>
      <c r="GV579" s="4"/>
    </row>
    <row r="580" ht="14.25" customHeight="1">
      <c r="EC580" s="4"/>
      <c r="GV580" s="4"/>
    </row>
    <row r="581" ht="14.25" customHeight="1">
      <c r="EC581" s="4"/>
      <c r="GV581" s="4"/>
    </row>
    <row r="582" ht="14.25" customHeight="1">
      <c r="EC582" s="4"/>
      <c r="GV582" s="4"/>
    </row>
    <row r="583" ht="14.25" customHeight="1">
      <c r="EC583" s="4"/>
      <c r="GV583" s="4"/>
    </row>
    <row r="584" ht="14.25" customHeight="1">
      <c r="EC584" s="4"/>
      <c r="GV584" s="4"/>
    </row>
    <row r="585" ht="14.25" customHeight="1">
      <c r="EC585" s="4"/>
      <c r="GV585" s="4"/>
    </row>
    <row r="586" ht="14.25" customHeight="1">
      <c r="EC586" s="4"/>
      <c r="GV586" s="4"/>
    </row>
    <row r="587" ht="14.25" customHeight="1">
      <c r="EC587" s="4"/>
      <c r="GV587" s="4"/>
    </row>
    <row r="588" ht="14.25" customHeight="1">
      <c r="EC588" s="4"/>
      <c r="GV588" s="4"/>
    </row>
    <row r="589" ht="14.25" customHeight="1">
      <c r="EC589" s="4"/>
      <c r="GV589" s="4"/>
    </row>
    <row r="590" ht="14.25" customHeight="1">
      <c r="EC590" s="4"/>
      <c r="GV590" s="4"/>
    </row>
    <row r="591" ht="14.25" customHeight="1">
      <c r="EC591" s="4"/>
      <c r="GV591" s="4"/>
    </row>
    <row r="592" ht="14.25" customHeight="1">
      <c r="EC592" s="4"/>
      <c r="GV592" s="4"/>
    </row>
    <row r="593" ht="14.25" customHeight="1">
      <c r="EC593" s="4"/>
      <c r="GV593" s="4"/>
    </row>
    <row r="594" ht="14.25" customHeight="1">
      <c r="EC594" s="4"/>
      <c r="GV594" s="4"/>
    </row>
    <row r="595" ht="14.25" customHeight="1">
      <c r="EC595" s="4"/>
      <c r="GV595" s="4"/>
    </row>
    <row r="596" ht="14.25" customHeight="1">
      <c r="EC596" s="4"/>
      <c r="GV596" s="4"/>
    </row>
    <row r="597" ht="14.25" customHeight="1">
      <c r="EC597" s="4"/>
      <c r="GV597" s="4"/>
    </row>
    <row r="598" ht="14.25" customHeight="1">
      <c r="EC598" s="4"/>
      <c r="GV598" s="4"/>
    </row>
    <row r="599" ht="14.25" customHeight="1">
      <c r="EC599" s="4"/>
      <c r="GV599" s="4"/>
    </row>
    <row r="600" ht="14.25" customHeight="1">
      <c r="EC600" s="4"/>
      <c r="GV600" s="4"/>
    </row>
    <row r="601" ht="14.25" customHeight="1">
      <c r="EC601" s="4"/>
      <c r="GV601" s="4"/>
    </row>
    <row r="602" ht="14.25" customHeight="1">
      <c r="EC602" s="4"/>
      <c r="GV602" s="4"/>
    </row>
    <row r="603" ht="14.25" customHeight="1">
      <c r="EC603" s="4"/>
      <c r="GV603" s="4"/>
    </row>
    <row r="604" ht="14.25" customHeight="1">
      <c r="EC604" s="4"/>
      <c r="GV604" s="4"/>
    </row>
    <row r="605" ht="14.25" customHeight="1">
      <c r="EC605" s="4"/>
      <c r="GV605" s="4"/>
    </row>
    <row r="606" ht="14.25" customHeight="1">
      <c r="EC606" s="4"/>
      <c r="GV606" s="4"/>
    </row>
    <row r="607" ht="14.25" customHeight="1">
      <c r="EC607" s="4"/>
      <c r="GV607" s="4"/>
    </row>
    <row r="608" ht="14.25" customHeight="1">
      <c r="EC608" s="4"/>
      <c r="GV608" s="4"/>
    </row>
    <row r="609" ht="14.25" customHeight="1">
      <c r="EC609" s="4"/>
      <c r="GV609" s="4"/>
    </row>
    <row r="610" ht="14.25" customHeight="1">
      <c r="EC610" s="4"/>
      <c r="GV610" s="4"/>
    </row>
    <row r="611" ht="14.25" customHeight="1">
      <c r="EC611" s="4"/>
      <c r="GV611" s="4"/>
    </row>
    <row r="612" ht="14.25" customHeight="1">
      <c r="EC612" s="4"/>
      <c r="GV612" s="4"/>
    </row>
    <row r="613" ht="14.25" customHeight="1">
      <c r="EC613" s="4"/>
      <c r="GV613" s="4"/>
    </row>
    <row r="614" ht="14.25" customHeight="1">
      <c r="EC614" s="4"/>
      <c r="GV614" s="4"/>
    </row>
    <row r="615" ht="14.25" customHeight="1">
      <c r="EC615" s="4"/>
      <c r="GV615" s="4"/>
    </row>
    <row r="616" ht="14.25" customHeight="1">
      <c r="EC616" s="4"/>
      <c r="GV616" s="4"/>
    </row>
    <row r="617" ht="14.25" customHeight="1">
      <c r="EC617" s="4"/>
      <c r="GV617" s="4"/>
    </row>
    <row r="618" ht="14.25" customHeight="1">
      <c r="EC618" s="4"/>
      <c r="GV618" s="4"/>
    </row>
    <row r="619" ht="14.25" customHeight="1">
      <c r="EC619" s="4"/>
      <c r="GV619" s="4"/>
    </row>
    <row r="620" ht="14.25" customHeight="1">
      <c r="EC620" s="4"/>
      <c r="GV620" s="4"/>
    </row>
    <row r="621" ht="14.25" customHeight="1">
      <c r="EC621" s="4"/>
      <c r="GV621" s="4"/>
    </row>
    <row r="622" ht="14.25" customHeight="1">
      <c r="EC622" s="4"/>
      <c r="GV622" s="4"/>
    </row>
    <row r="623" ht="14.25" customHeight="1">
      <c r="EC623" s="4"/>
      <c r="GV623" s="4"/>
    </row>
    <row r="624" ht="14.25" customHeight="1">
      <c r="EC624" s="4"/>
      <c r="GV624" s="4"/>
    </row>
    <row r="625" ht="14.25" customHeight="1">
      <c r="EC625" s="4"/>
      <c r="GV625" s="4"/>
    </row>
    <row r="626" ht="14.25" customHeight="1">
      <c r="EC626" s="4"/>
      <c r="GV626" s="4"/>
    </row>
    <row r="627" ht="14.25" customHeight="1">
      <c r="EC627" s="4"/>
      <c r="GV627" s="4"/>
    </row>
    <row r="628" ht="14.25" customHeight="1">
      <c r="EC628" s="4"/>
      <c r="GV628" s="4"/>
    </row>
    <row r="629" ht="14.25" customHeight="1">
      <c r="EC629" s="4"/>
      <c r="GV629" s="4"/>
    </row>
    <row r="630" ht="14.25" customHeight="1">
      <c r="EC630" s="4"/>
      <c r="GV630" s="4"/>
    </row>
    <row r="631" ht="14.25" customHeight="1">
      <c r="EC631" s="4"/>
      <c r="GV631" s="4"/>
    </row>
    <row r="632" ht="14.25" customHeight="1">
      <c r="EC632" s="4"/>
      <c r="GV632" s="4"/>
    </row>
    <row r="633" ht="14.25" customHeight="1">
      <c r="EC633" s="4"/>
      <c r="GV633" s="4"/>
    </row>
    <row r="634" ht="14.25" customHeight="1">
      <c r="EC634" s="4"/>
      <c r="GV634" s="4"/>
    </row>
    <row r="635" ht="14.25" customHeight="1">
      <c r="EC635" s="4"/>
      <c r="GV635" s="4"/>
    </row>
    <row r="636" ht="14.25" customHeight="1">
      <c r="EC636" s="4"/>
      <c r="GV636" s="4"/>
    </row>
    <row r="637" ht="14.25" customHeight="1">
      <c r="EC637" s="4"/>
      <c r="GV637" s="4"/>
    </row>
    <row r="638" ht="14.25" customHeight="1">
      <c r="EC638" s="4"/>
      <c r="GV638" s="4"/>
    </row>
    <row r="639" ht="14.25" customHeight="1">
      <c r="EC639" s="4"/>
      <c r="GV639" s="4"/>
    </row>
    <row r="640" ht="14.25" customHeight="1">
      <c r="EC640" s="4"/>
      <c r="GV640" s="4"/>
    </row>
    <row r="641" ht="14.25" customHeight="1">
      <c r="EC641" s="4"/>
      <c r="GV641" s="4"/>
    </row>
    <row r="642" ht="14.25" customHeight="1">
      <c r="EC642" s="4"/>
      <c r="GV642" s="4"/>
    </row>
    <row r="643" ht="14.25" customHeight="1">
      <c r="EC643" s="4"/>
      <c r="GV643" s="4"/>
    </row>
    <row r="644" ht="14.25" customHeight="1">
      <c r="EC644" s="4"/>
      <c r="GV644" s="4"/>
    </row>
    <row r="645" ht="14.25" customHeight="1">
      <c r="EC645" s="4"/>
      <c r="GV645" s="4"/>
    </row>
    <row r="646" ht="14.25" customHeight="1">
      <c r="EC646" s="4"/>
      <c r="GV646" s="4"/>
    </row>
    <row r="647" ht="14.25" customHeight="1">
      <c r="EC647" s="4"/>
      <c r="GV647" s="4"/>
    </row>
    <row r="648" ht="14.25" customHeight="1">
      <c r="EC648" s="4"/>
      <c r="GV648" s="4"/>
    </row>
    <row r="649" ht="14.25" customHeight="1">
      <c r="EC649" s="4"/>
      <c r="GV649" s="4"/>
    </row>
    <row r="650" ht="14.25" customHeight="1">
      <c r="EC650" s="4"/>
      <c r="GV650" s="4"/>
    </row>
    <row r="651" ht="14.25" customHeight="1">
      <c r="EC651" s="4"/>
      <c r="GV651" s="4"/>
    </row>
    <row r="652" ht="14.25" customHeight="1">
      <c r="EC652" s="4"/>
      <c r="GV652" s="4"/>
    </row>
    <row r="653" ht="14.25" customHeight="1">
      <c r="EC653" s="4"/>
      <c r="GV653" s="4"/>
    </row>
    <row r="654" ht="14.25" customHeight="1">
      <c r="EC654" s="4"/>
      <c r="GV654" s="4"/>
    </row>
    <row r="655" ht="14.25" customHeight="1">
      <c r="EC655" s="4"/>
      <c r="GV655" s="4"/>
    </row>
    <row r="656" ht="14.25" customHeight="1">
      <c r="EC656" s="4"/>
      <c r="GV656" s="4"/>
    </row>
    <row r="657" ht="14.25" customHeight="1">
      <c r="EC657" s="4"/>
      <c r="GV657" s="4"/>
    </row>
    <row r="658" ht="14.25" customHeight="1">
      <c r="EC658" s="4"/>
      <c r="GV658" s="4"/>
    </row>
    <row r="659" ht="14.25" customHeight="1">
      <c r="EC659" s="4"/>
      <c r="GV659" s="4"/>
    </row>
    <row r="660" ht="14.25" customHeight="1">
      <c r="EC660" s="4"/>
      <c r="GV660" s="4"/>
    </row>
    <row r="661" ht="14.25" customHeight="1">
      <c r="EC661" s="4"/>
      <c r="GV661" s="4"/>
    </row>
    <row r="662" ht="14.25" customHeight="1">
      <c r="EC662" s="4"/>
      <c r="GV662" s="4"/>
    </row>
    <row r="663" ht="14.25" customHeight="1">
      <c r="EC663" s="4"/>
      <c r="GV663" s="4"/>
    </row>
    <row r="664" ht="14.25" customHeight="1">
      <c r="EC664" s="4"/>
      <c r="GV664" s="4"/>
    </row>
    <row r="665" ht="14.25" customHeight="1">
      <c r="EC665" s="4"/>
      <c r="GV665" s="4"/>
    </row>
    <row r="666" ht="14.25" customHeight="1">
      <c r="EC666" s="4"/>
      <c r="GV666" s="4"/>
    </row>
    <row r="667" ht="14.25" customHeight="1">
      <c r="EC667" s="4"/>
      <c r="GV667" s="4"/>
    </row>
    <row r="668" ht="14.25" customHeight="1">
      <c r="EC668" s="4"/>
      <c r="GV668" s="4"/>
    </row>
    <row r="669" ht="14.25" customHeight="1">
      <c r="EC669" s="4"/>
      <c r="GV669" s="4"/>
    </row>
    <row r="670" ht="14.25" customHeight="1">
      <c r="EC670" s="4"/>
      <c r="GV670" s="4"/>
    </row>
    <row r="671" ht="14.25" customHeight="1">
      <c r="EC671" s="4"/>
      <c r="GV671" s="4"/>
    </row>
    <row r="672" ht="14.25" customHeight="1">
      <c r="EC672" s="4"/>
      <c r="GV672" s="4"/>
    </row>
    <row r="673" ht="14.25" customHeight="1">
      <c r="EC673" s="4"/>
      <c r="GV673" s="4"/>
    </row>
    <row r="674" ht="14.25" customHeight="1">
      <c r="EC674" s="4"/>
      <c r="GV674" s="4"/>
    </row>
    <row r="675" ht="14.25" customHeight="1">
      <c r="EC675" s="4"/>
      <c r="GV675" s="4"/>
    </row>
    <row r="676" ht="14.25" customHeight="1">
      <c r="EC676" s="4"/>
      <c r="GV676" s="4"/>
    </row>
    <row r="677" ht="14.25" customHeight="1">
      <c r="EC677" s="4"/>
      <c r="GV677" s="4"/>
    </row>
    <row r="678" ht="14.25" customHeight="1">
      <c r="EC678" s="4"/>
      <c r="GV678" s="4"/>
    </row>
    <row r="679" ht="14.25" customHeight="1">
      <c r="EC679" s="4"/>
      <c r="GV679" s="4"/>
    </row>
    <row r="680" ht="14.25" customHeight="1">
      <c r="EC680" s="4"/>
      <c r="GV680" s="4"/>
    </row>
    <row r="681" ht="14.25" customHeight="1">
      <c r="EC681" s="4"/>
      <c r="GV681" s="4"/>
    </row>
    <row r="682" ht="14.25" customHeight="1">
      <c r="EC682" s="4"/>
      <c r="GV682" s="4"/>
    </row>
    <row r="683" ht="14.25" customHeight="1">
      <c r="EC683" s="4"/>
      <c r="GV683" s="4"/>
    </row>
    <row r="684" ht="14.25" customHeight="1">
      <c r="EC684" s="4"/>
      <c r="GV684" s="4"/>
    </row>
    <row r="685" ht="14.25" customHeight="1">
      <c r="EC685" s="4"/>
      <c r="GV685" s="4"/>
    </row>
    <row r="686" ht="14.25" customHeight="1">
      <c r="EC686" s="4"/>
      <c r="GV686" s="4"/>
    </row>
    <row r="687" ht="14.25" customHeight="1">
      <c r="EC687" s="4"/>
      <c r="GV687" s="4"/>
    </row>
    <row r="688" ht="14.25" customHeight="1">
      <c r="EC688" s="4"/>
      <c r="GV688" s="4"/>
    </row>
    <row r="689" ht="14.25" customHeight="1">
      <c r="EC689" s="4"/>
      <c r="GV689" s="4"/>
    </row>
    <row r="690" ht="14.25" customHeight="1">
      <c r="EC690" s="4"/>
      <c r="GV690" s="4"/>
    </row>
    <row r="691" ht="14.25" customHeight="1">
      <c r="EC691" s="4"/>
      <c r="GV691" s="4"/>
    </row>
    <row r="692" ht="14.25" customHeight="1">
      <c r="EC692" s="4"/>
      <c r="GV692" s="4"/>
    </row>
    <row r="693" ht="14.25" customHeight="1">
      <c r="EC693" s="4"/>
      <c r="GV693" s="4"/>
    </row>
    <row r="694" ht="14.25" customHeight="1">
      <c r="EC694" s="4"/>
      <c r="GV694" s="4"/>
    </row>
    <row r="695" ht="14.25" customHeight="1">
      <c r="EC695" s="4"/>
      <c r="GV695" s="4"/>
    </row>
    <row r="696" ht="14.25" customHeight="1">
      <c r="EC696" s="4"/>
      <c r="GV696" s="4"/>
    </row>
    <row r="697" ht="14.25" customHeight="1">
      <c r="EC697" s="4"/>
      <c r="GV697" s="4"/>
    </row>
    <row r="698" ht="14.25" customHeight="1">
      <c r="EC698" s="4"/>
      <c r="GV698" s="4"/>
    </row>
    <row r="699" ht="14.25" customHeight="1">
      <c r="EC699" s="4"/>
      <c r="GV699" s="4"/>
    </row>
    <row r="700" ht="14.25" customHeight="1">
      <c r="EC700" s="4"/>
      <c r="GV700" s="4"/>
    </row>
    <row r="701" ht="14.25" customHeight="1">
      <c r="EC701" s="4"/>
      <c r="GV701" s="4"/>
    </row>
    <row r="702" ht="14.25" customHeight="1">
      <c r="EC702" s="4"/>
      <c r="GV702" s="4"/>
    </row>
    <row r="703" ht="14.25" customHeight="1">
      <c r="EC703" s="4"/>
      <c r="GV703" s="4"/>
    </row>
    <row r="704" ht="14.25" customHeight="1">
      <c r="EC704" s="4"/>
      <c r="GV704" s="4"/>
    </row>
    <row r="705" ht="14.25" customHeight="1">
      <c r="EC705" s="4"/>
      <c r="GV705" s="4"/>
    </row>
    <row r="706" ht="14.25" customHeight="1">
      <c r="EC706" s="4"/>
      <c r="GV706" s="4"/>
    </row>
    <row r="707" ht="14.25" customHeight="1">
      <c r="EC707" s="4"/>
      <c r="GV707" s="4"/>
    </row>
    <row r="708" ht="14.25" customHeight="1">
      <c r="EC708" s="4"/>
      <c r="GV708" s="4"/>
    </row>
    <row r="709" ht="14.25" customHeight="1">
      <c r="EC709" s="4"/>
      <c r="GV709" s="4"/>
    </row>
    <row r="710" ht="14.25" customHeight="1">
      <c r="EC710" s="4"/>
      <c r="GV710" s="4"/>
    </row>
    <row r="711" ht="14.25" customHeight="1">
      <c r="EC711" s="4"/>
      <c r="GV711" s="4"/>
    </row>
    <row r="712" ht="14.25" customHeight="1">
      <c r="EC712" s="4"/>
      <c r="GV712" s="4"/>
    </row>
    <row r="713" ht="14.25" customHeight="1">
      <c r="EC713" s="4"/>
      <c r="GV713" s="4"/>
    </row>
    <row r="714" ht="14.25" customHeight="1">
      <c r="EC714" s="4"/>
      <c r="GV714" s="4"/>
    </row>
    <row r="715" ht="14.25" customHeight="1">
      <c r="EC715" s="4"/>
      <c r="GV715" s="4"/>
    </row>
    <row r="716" ht="14.25" customHeight="1">
      <c r="EC716" s="4"/>
      <c r="GV716" s="4"/>
    </row>
    <row r="717" ht="14.25" customHeight="1">
      <c r="EC717" s="4"/>
      <c r="GV717" s="4"/>
    </row>
    <row r="718" ht="14.25" customHeight="1">
      <c r="EC718" s="4"/>
      <c r="GV718" s="4"/>
    </row>
    <row r="719" ht="14.25" customHeight="1">
      <c r="EC719" s="4"/>
      <c r="GV719" s="4"/>
    </row>
    <row r="720" ht="14.25" customHeight="1">
      <c r="EC720" s="4"/>
      <c r="GV720" s="4"/>
    </row>
    <row r="721" ht="14.25" customHeight="1">
      <c r="EC721" s="4"/>
      <c r="GV721" s="4"/>
    </row>
    <row r="722" ht="14.25" customHeight="1">
      <c r="EC722" s="4"/>
      <c r="GV722" s="4"/>
    </row>
    <row r="723" ht="14.25" customHeight="1">
      <c r="EC723" s="4"/>
      <c r="GV723" s="4"/>
    </row>
    <row r="724" ht="14.25" customHeight="1">
      <c r="EC724" s="4"/>
      <c r="GV724" s="4"/>
    </row>
    <row r="725" ht="14.25" customHeight="1">
      <c r="EC725" s="4"/>
      <c r="GV725" s="4"/>
    </row>
    <row r="726" ht="14.25" customHeight="1">
      <c r="EC726" s="4"/>
      <c r="GV726" s="4"/>
    </row>
    <row r="727" ht="14.25" customHeight="1">
      <c r="EC727" s="4"/>
      <c r="GV727" s="4"/>
    </row>
    <row r="728" ht="14.25" customHeight="1">
      <c r="EC728" s="4"/>
      <c r="GV728" s="4"/>
    </row>
    <row r="729" ht="14.25" customHeight="1">
      <c r="EC729" s="4"/>
      <c r="GV729" s="4"/>
    </row>
    <row r="730" ht="14.25" customHeight="1">
      <c r="EC730" s="4"/>
      <c r="GV730" s="4"/>
    </row>
    <row r="731" ht="14.25" customHeight="1">
      <c r="EC731" s="4"/>
      <c r="GV731" s="4"/>
    </row>
    <row r="732" ht="14.25" customHeight="1">
      <c r="EC732" s="4"/>
      <c r="GV732" s="4"/>
    </row>
    <row r="733" ht="14.25" customHeight="1">
      <c r="EC733" s="4"/>
      <c r="GV733" s="4"/>
    </row>
    <row r="734" ht="14.25" customHeight="1">
      <c r="EC734" s="4"/>
      <c r="GV734" s="4"/>
    </row>
    <row r="735" ht="14.25" customHeight="1">
      <c r="EC735" s="4"/>
      <c r="GV735" s="4"/>
    </row>
    <row r="736" ht="14.25" customHeight="1">
      <c r="EC736" s="4"/>
      <c r="GV736" s="4"/>
    </row>
    <row r="737" ht="14.25" customHeight="1">
      <c r="EC737" s="4"/>
      <c r="GV737" s="4"/>
    </row>
    <row r="738" ht="14.25" customHeight="1">
      <c r="EC738" s="4"/>
      <c r="GV738" s="4"/>
    </row>
    <row r="739" ht="14.25" customHeight="1">
      <c r="EC739" s="4"/>
      <c r="GV739" s="4"/>
    </row>
    <row r="740" ht="14.25" customHeight="1">
      <c r="EC740" s="4"/>
      <c r="GV740" s="4"/>
    </row>
    <row r="741" ht="14.25" customHeight="1">
      <c r="EC741" s="4"/>
      <c r="GV741" s="4"/>
    </row>
    <row r="742" ht="14.25" customHeight="1">
      <c r="EC742" s="4"/>
      <c r="GV742" s="4"/>
    </row>
    <row r="743" ht="14.25" customHeight="1">
      <c r="EC743" s="4"/>
      <c r="GV743" s="4"/>
    </row>
    <row r="744" ht="14.25" customHeight="1">
      <c r="EC744" s="4"/>
      <c r="GV744" s="4"/>
    </row>
    <row r="745" ht="14.25" customHeight="1">
      <c r="EC745" s="4"/>
      <c r="GV745" s="4"/>
    </row>
    <row r="746" ht="14.25" customHeight="1">
      <c r="EC746" s="4"/>
      <c r="GV746" s="4"/>
    </row>
    <row r="747" ht="14.25" customHeight="1">
      <c r="EC747" s="4"/>
      <c r="GV747" s="4"/>
    </row>
    <row r="748" ht="14.25" customHeight="1">
      <c r="EC748" s="4"/>
      <c r="GV748" s="4"/>
    </row>
    <row r="749" ht="14.25" customHeight="1">
      <c r="EC749" s="4"/>
      <c r="GV749" s="4"/>
    </row>
    <row r="750" ht="14.25" customHeight="1">
      <c r="EC750" s="4"/>
      <c r="GV750" s="4"/>
    </row>
    <row r="751" ht="14.25" customHeight="1">
      <c r="EC751" s="4"/>
      <c r="GV751" s="4"/>
    </row>
    <row r="752" ht="14.25" customHeight="1">
      <c r="EC752" s="4"/>
      <c r="GV752" s="4"/>
    </row>
    <row r="753" ht="14.25" customHeight="1">
      <c r="EC753" s="4"/>
      <c r="GV753" s="4"/>
    </row>
    <row r="754" ht="14.25" customHeight="1">
      <c r="EC754" s="4"/>
      <c r="GV754" s="4"/>
    </row>
    <row r="755" ht="14.25" customHeight="1">
      <c r="EC755" s="4"/>
      <c r="GV755" s="4"/>
    </row>
    <row r="756" ht="14.25" customHeight="1">
      <c r="EC756" s="4"/>
      <c r="GV756" s="4"/>
    </row>
    <row r="757" ht="14.25" customHeight="1">
      <c r="EC757" s="4"/>
      <c r="GV757" s="4"/>
    </row>
    <row r="758" ht="14.25" customHeight="1">
      <c r="EC758" s="4"/>
      <c r="GV758" s="4"/>
    </row>
    <row r="759" ht="14.25" customHeight="1">
      <c r="EC759" s="4"/>
      <c r="GV759" s="4"/>
    </row>
    <row r="760" ht="14.25" customHeight="1">
      <c r="EC760" s="4"/>
      <c r="GV760" s="4"/>
    </row>
    <row r="761" ht="14.25" customHeight="1">
      <c r="EC761" s="4"/>
      <c r="GV761" s="4"/>
    </row>
    <row r="762" ht="14.25" customHeight="1">
      <c r="EC762" s="4"/>
      <c r="GV762" s="4"/>
    </row>
    <row r="763" ht="14.25" customHeight="1">
      <c r="EC763" s="4"/>
      <c r="GV763" s="4"/>
    </row>
    <row r="764" ht="14.25" customHeight="1">
      <c r="EC764" s="4"/>
      <c r="GV764" s="4"/>
    </row>
    <row r="765" ht="14.25" customHeight="1">
      <c r="EC765" s="4"/>
      <c r="GV765" s="4"/>
    </row>
    <row r="766" ht="14.25" customHeight="1">
      <c r="EC766" s="4"/>
      <c r="GV766" s="4"/>
    </row>
    <row r="767" ht="14.25" customHeight="1">
      <c r="EC767" s="4"/>
      <c r="GV767" s="4"/>
    </row>
    <row r="768" ht="14.25" customHeight="1">
      <c r="EC768" s="4"/>
      <c r="GV768" s="4"/>
    </row>
    <row r="769" ht="14.25" customHeight="1">
      <c r="EC769" s="4"/>
      <c r="GV769" s="4"/>
    </row>
    <row r="770" ht="14.25" customHeight="1">
      <c r="EC770" s="4"/>
      <c r="GV770" s="4"/>
    </row>
    <row r="771" ht="14.25" customHeight="1">
      <c r="EC771" s="4"/>
      <c r="GV771" s="4"/>
    </row>
    <row r="772" ht="14.25" customHeight="1">
      <c r="EC772" s="4"/>
      <c r="GV772" s="4"/>
    </row>
    <row r="773" ht="14.25" customHeight="1">
      <c r="EC773" s="4"/>
      <c r="GV773" s="4"/>
    </row>
    <row r="774" ht="14.25" customHeight="1">
      <c r="EC774" s="4"/>
      <c r="GV774" s="4"/>
    </row>
    <row r="775" ht="14.25" customHeight="1">
      <c r="EC775" s="4"/>
      <c r="GV775" s="4"/>
    </row>
    <row r="776" ht="14.25" customHeight="1">
      <c r="EC776" s="4"/>
      <c r="GV776" s="4"/>
    </row>
    <row r="777" ht="14.25" customHeight="1">
      <c r="EC777" s="4"/>
      <c r="GV777" s="4"/>
    </row>
    <row r="778" ht="14.25" customHeight="1">
      <c r="EC778" s="4"/>
      <c r="GV778" s="4"/>
    </row>
    <row r="779" ht="14.25" customHeight="1">
      <c r="EC779" s="4"/>
      <c r="GV779" s="4"/>
    </row>
    <row r="780" ht="14.25" customHeight="1">
      <c r="EC780" s="4"/>
      <c r="GV780" s="4"/>
    </row>
    <row r="781" ht="14.25" customHeight="1">
      <c r="EC781" s="4"/>
      <c r="GV781" s="4"/>
    </row>
    <row r="782" ht="14.25" customHeight="1">
      <c r="EC782" s="4"/>
      <c r="GV782" s="4"/>
    </row>
    <row r="783" ht="14.25" customHeight="1">
      <c r="EC783" s="4"/>
      <c r="GV783" s="4"/>
    </row>
    <row r="784" ht="14.25" customHeight="1">
      <c r="EC784" s="4"/>
      <c r="GV784" s="4"/>
    </row>
    <row r="785" ht="14.25" customHeight="1">
      <c r="EC785" s="4"/>
      <c r="GV785" s="4"/>
    </row>
    <row r="786" ht="14.25" customHeight="1">
      <c r="EC786" s="4"/>
      <c r="GV786" s="4"/>
    </row>
    <row r="787" ht="14.25" customHeight="1">
      <c r="EC787" s="4"/>
      <c r="GV787" s="4"/>
    </row>
    <row r="788" ht="14.25" customHeight="1">
      <c r="EC788" s="4"/>
      <c r="GV788" s="4"/>
    </row>
    <row r="789" ht="14.25" customHeight="1">
      <c r="EC789" s="4"/>
      <c r="GV789" s="4"/>
    </row>
    <row r="790" ht="14.25" customHeight="1">
      <c r="EC790" s="4"/>
      <c r="GV790" s="4"/>
    </row>
    <row r="791" ht="14.25" customHeight="1">
      <c r="EC791" s="4"/>
      <c r="GV791" s="4"/>
    </row>
    <row r="792" ht="14.25" customHeight="1">
      <c r="EC792" s="4"/>
      <c r="GV792" s="4"/>
    </row>
    <row r="793" ht="14.25" customHeight="1">
      <c r="EC793" s="4"/>
      <c r="GV793" s="4"/>
    </row>
    <row r="794" ht="14.25" customHeight="1">
      <c r="EC794" s="4"/>
      <c r="GV794" s="4"/>
    </row>
    <row r="795" ht="14.25" customHeight="1">
      <c r="EC795" s="4"/>
      <c r="GV795" s="4"/>
    </row>
    <row r="796" ht="14.25" customHeight="1">
      <c r="EC796" s="4"/>
      <c r="GV796" s="4"/>
    </row>
    <row r="797" ht="14.25" customHeight="1">
      <c r="EC797" s="4"/>
      <c r="GV797" s="4"/>
    </row>
    <row r="798" ht="14.25" customHeight="1">
      <c r="EC798" s="4"/>
      <c r="GV798" s="4"/>
    </row>
    <row r="799" ht="14.25" customHeight="1">
      <c r="EC799" s="4"/>
      <c r="GV799" s="4"/>
    </row>
    <row r="800" ht="14.25" customHeight="1">
      <c r="EC800" s="4"/>
      <c r="GV800" s="4"/>
    </row>
    <row r="801" ht="14.25" customHeight="1">
      <c r="EC801" s="4"/>
      <c r="GV801" s="4"/>
    </row>
    <row r="802" ht="14.25" customHeight="1">
      <c r="EC802" s="4"/>
      <c r="GV802" s="4"/>
    </row>
    <row r="803" ht="14.25" customHeight="1">
      <c r="EC803" s="4"/>
      <c r="GV803" s="4"/>
    </row>
    <row r="804" ht="14.25" customHeight="1">
      <c r="EC804" s="4"/>
      <c r="GV804" s="4"/>
    </row>
    <row r="805" ht="14.25" customHeight="1">
      <c r="EC805" s="4"/>
      <c r="GV805" s="4"/>
    </row>
    <row r="806" ht="14.25" customHeight="1">
      <c r="EC806" s="4"/>
      <c r="GV806" s="4"/>
    </row>
    <row r="807" ht="14.25" customHeight="1">
      <c r="EC807" s="4"/>
      <c r="GV807" s="4"/>
    </row>
    <row r="808" ht="14.25" customHeight="1">
      <c r="EC808" s="4"/>
      <c r="GV808" s="4"/>
    </row>
    <row r="809" ht="14.25" customHeight="1">
      <c r="EC809" s="4"/>
      <c r="GV809" s="4"/>
    </row>
    <row r="810" ht="14.25" customHeight="1">
      <c r="EC810" s="4"/>
      <c r="GV810" s="4"/>
    </row>
    <row r="811" ht="14.25" customHeight="1">
      <c r="EC811" s="4"/>
      <c r="GV811" s="4"/>
    </row>
    <row r="812" ht="14.25" customHeight="1">
      <c r="EC812" s="4"/>
      <c r="GV812" s="4"/>
    </row>
    <row r="813" ht="14.25" customHeight="1">
      <c r="EC813" s="4"/>
      <c r="GV813" s="4"/>
    </row>
    <row r="814" ht="14.25" customHeight="1">
      <c r="EC814" s="4"/>
      <c r="GV814" s="4"/>
    </row>
    <row r="815" ht="14.25" customHeight="1">
      <c r="EC815" s="4"/>
      <c r="GV815" s="4"/>
    </row>
    <row r="816" ht="14.25" customHeight="1">
      <c r="EC816" s="4"/>
      <c r="GV816" s="4"/>
    </row>
    <row r="817" ht="14.25" customHeight="1">
      <c r="EC817" s="4"/>
      <c r="GV817" s="4"/>
    </row>
    <row r="818" ht="14.25" customHeight="1">
      <c r="EC818" s="4"/>
      <c r="GV818" s="4"/>
    </row>
    <row r="819" ht="14.25" customHeight="1">
      <c r="EC819" s="4"/>
      <c r="GV819" s="4"/>
    </row>
    <row r="820" ht="14.25" customHeight="1">
      <c r="EC820" s="4"/>
      <c r="GV820" s="4"/>
    </row>
    <row r="821" ht="14.25" customHeight="1">
      <c r="EC821" s="4"/>
      <c r="GV821" s="4"/>
    </row>
    <row r="822" ht="14.25" customHeight="1">
      <c r="EC822" s="4"/>
      <c r="GV822" s="4"/>
    </row>
    <row r="823" ht="14.25" customHeight="1">
      <c r="EC823" s="4"/>
      <c r="GV823" s="4"/>
    </row>
    <row r="824" ht="14.25" customHeight="1">
      <c r="EC824" s="4"/>
      <c r="GV824" s="4"/>
    </row>
    <row r="825" ht="14.25" customHeight="1">
      <c r="EC825" s="4"/>
      <c r="GV825" s="4"/>
    </row>
    <row r="826" ht="14.25" customHeight="1">
      <c r="EC826" s="4"/>
      <c r="GV826" s="4"/>
    </row>
    <row r="827" ht="14.25" customHeight="1">
      <c r="EC827" s="4"/>
      <c r="GV827" s="4"/>
    </row>
    <row r="828" ht="14.25" customHeight="1">
      <c r="EC828" s="4"/>
      <c r="GV828" s="4"/>
    </row>
    <row r="829" ht="14.25" customHeight="1">
      <c r="EC829" s="4"/>
      <c r="GV829" s="4"/>
    </row>
    <row r="830" ht="14.25" customHeight="1">
      <c r="EC830" s="4"/>
      <c r="GV830" s="4"/>
    </row>
    <row r="831" ht="14.25" customHeight="1">
      <c r="EC831" s="4"/>
      <c r="GV831" s="4"/>
    </row>
    <row r="832" ht="14.25" customHeight="1">
      <c r="EC832" s="4"/>
      <c r="GV832" s="4"/>
    </row>
    <row r="833" ht="14.25" customHeight="1">
      <c r="EC833" s="4"/>
      <c r="GV833" s="4"/>
    </row>
    <row r="834" ht="14.25" customHeight="1">
      <c r="EC834" s="4"/>
      <c r="GV834" s="4"/>
    </row>
    <row r="835" ht="14.25" customHeight="1">
      <c r="EC835" s="4"/>
      <c r="GV835" s="4"/>
    </row>
    <row r="836" ht="14.25" customHeight="1">
      <c r="EC836" s="4"/>
      <c r="GV836" s="4"/>
    </row>
    <row r="837" ht="14.25" customHeight="1">
      <c r="EC837" s="4"/>
      <c r="GV837" s="4"/>
    </row>
    <row r="838" ht="14.25" customHeight="1">
      <c r="EC838" s="4"/>
      <c r="GV838" s="4"/>
    </row>
    <row r="839" ht="14.25" customHeight="1">
      <c r="EC839" s="4"/>
      <c r="GV839" s="4"/>
    </row>
    <row r="840" ht="14.25" customHeight="1">
      <c r="EC840" s="4"/>
      <c r="GV840" s="4"/>
    </row>
    <row r="841" ht="14.25" customHeight="1">
      <c r="EC841" s="4"/>
      <c r="GV841" s="4"/>
    </row>
    <row r="842" ht="14.25" customHeight="1">
      <c r="EC842" s="4"/>
      <c r="GV842" s="4"/>
    </row>
    <row r="843" ht="14.25" customHeight="1">
      <c r="EC843" s="4"/>
      <c r="GV843" s="4"/>
    </row>
    <row r="844" ht="14.25" customHeight="1">
      <c r="EC844" s="4"/>
      <c r="GV844" s="4"/>
    </row>
    <row r="845" ht="14.25" customHeight="1">
      <c r="EC845" s="4"/>
      <c r="GV845" s="4"/>
    </row>
    <row r="846" ht="14.25" customHeight="1">
      <c r="EC846" s="4"/>
      <c r="GV846" s="4"/>
    </row>
    <row r="847" ht="14.25" customHeight="1">
      <c r="EC847" s="4"/>
      <c r="GV847" s="4"/>
    </row>
    <row r="848" ht="14.25" customHeight="1">
      <c r="EC848" s="4"/>
      <c r="GV848" s="4"/>
    </row>
    <row r="849" ht="14.25" customHeight="1">
      <c r="EC849" s="4"/>
      <c r="GV849" s="4"/>
    </row>
    <row r="850" ht="14.25" customHeight="1">
      <c r="EC850" s="4"/>
      <c r="GV850" s="4"/>
    </row>
    <row r="851" ht="14.25" customHeight="1">
      <c r="EC851" s="4"/>
      <c r="GV851" s="4"/>
    </row>
    <row r="852" ht="14.25" customHeight="1">
      <c r="EC852" s="4"/>
      <c r="GV852" s="4"/>
    </row>
    <row r="853" ht="14.25" customHeight="1">
      <c r="EC853" s="4"/>
      <c r="GV853" s="4"/>
    </row>
    <row r="854" ht="14.25" customHeight="1">
      <c r="EC854" s="4"/>
      <c r="GV854" s="4"/>
    </row>
    <row r="855" ht="14.25" customHeight="1">
      <c r="EC855" s="4"/>
      <c r="GV855" s="4"/>
    </row>
    <row r="856" ht="14.25" customHeight="1">
      <c r="EC856" s="4"/>
      <c r="GV856" s="4"/>
    </row>
    <row r="857" ht="14.25" customHeight="1">
      <c r="EC857" s="4"/>
      <c r="GV857" s="4"/>
    </row>
    <row r="858" ht="14.25" customHeight="1">
      <c r="EC858" s="4"/>
      <c r="GV858" s="4"/>
    </row>
    <row r="859" ht="14.25" customHeight="1">
      <c r="EC859" s="4"/>
      <c r="GV859" s="4"/>
    </row>
    <row r="860" ht="14.25" customHeight="1">
      <c r="EC860" s="4"/>
      <c r="GV860" s="4"/>
    </row>
    <row r="861" ht="14.25" customHeight="1">
      <c r="EC861" s="4"/>
      <c r="GV861" s="4"/>
    </row>
    <row r="862" ht="14.25" customHeight="1">
      <c r="EC862" s="4"/>
      <c r="GV862" s="4"/>
    </row>
    <row r="863" ht="14.25" customHeight="1">
      <c r="EC863" s="4"/>
      <c r="GV863" s="4"/>
    </row>
    <row r="864" ht="14.25" customHeight="1">
      <c r="EC864" s="4"/>
      <c r="GV864" s="4"/>
    </row>
    <row r="865" ht="14.25" customHeight="1">
      <c r="EC865" s="4"/>
      <c r="GV865" s="4"/>
    </row>
    <row r="866" ht="14.25" customHeight="1">
      <c r="EC866" s="4"/>
      <c r="GV866" s="4"/>
    </row>
    <row r="867" ht="14.25" customHeight="1">
      <c r="EC867" s="4"/>
      <c r="GV867" s="4"/>
    </row>
    <row r="868" ht="14.25" customHeight="1">
      <c r="EC868" s="4"/>
      <c r="GV868" s="4"/>
    </row>
    <row r="869" ht="14.25" customHeight="1">
      <c r="EC869" s="4"/>
      <c r="GV869" s="4"/>
    </row>
    <row r="870" ht="14.25" customHeight="1">
      <c r="EC870" s="4"/>
      <c r="GV870" s="4"/>
    </row>
    <row r="871" ht="14.25" customHeight="1">
      <c r="EC871" s="4"/>
      <c r="GV871" s="4"/>
    </row>
    <row r="872" ht="14.25" customHeight="1">
      <c r="EC872" s="4"/>
      <c r="GV872" s="4"/>
    </row>
    <row r="873" ht="14.25" customHeight="1">
      <c r="EC873" s="4"/>
      <c r="GV873" s="4"/>
    </row>
    <row r="874" ht="14.25" customHeight="1">
      <c r="EC874" s="4"/>
      <c r="GV874" s="4"/>
    </row>
    <row r="875" ht="14.25" customHeight="1">
      <c r="EC875" s="4"/>
      <c r="GV875" s="4"/>
    </row>
    <row r="876" ht="14.25" customHeight="1">
      <c r="EC876" s="4"/>
      <c r="GV876" s="4"/>
    </row>
    <row r="877" ht="14.25" customHeight="1">
      <c r="EC877" s="4"/>
      <c r="GV877" s="4"/>
    </row>
    <row r="878" ht="14.25" customHeight="1">
      <c r="EC878" s="4"/>
      <c r="GV878" s="4"/>
    </row>
    <row r="879" ht="14.25" customHeight="1">
      <c r="EC879" s="4"/>
      <c r="GV879" s="4"/>
    </row>
    <row r="880" ht="14.25" customHeight="1">
      <c r="EC880" s="4"/>
      <c r="GV880" s="4"/>
    </row>
    <row r="881" ht="14.25" customHeight="1">
      <c r="EC881" s="4"/>
      <c r="GV881" s="4"/>
    </row>
    <row r="882" ht="14.25" customHeight="1">
      <c r="EC882" s="4"/>
      <c r="GV882" s="4"/>
    </row>
    <row r="883" ht="14.25" customHeight="1">
      <c r="EC883" s="4"/>
      <c r="GV883" s="4"/>
    </row>
    <row r="884" ht="14.25" customHeight="1">
      <c r="EC884" s="4"/>
      <c r="GV884" s="4"/>
    </row>
    <row r="885" ht="14.25" customHeight="1">
      <c r="EC885" s="4"/>
      <c r="GV885" s="4"/>
    </row>
    <row r="886" ht="14.25" customHeight="1">
      <c r="EC886" s="4"/>
      <c r="GV886" s="4"/>
    </row>
    <row r="887" ht="14.25" customHeight="1">
      <c r="EC887" s="4"/>
      <c r="GV887" s="4"/>
    </row>
    <row r="888" ht="14.25" customHeight="1">
      <c r="EC888" s="4"/>
      <c r="GV888" s="4"/>
    </row>
    <row r="889" ht="14.25" customHeight="1">
      <c r="EC889" s="4"/>
      <c r="GV889" s="4"/>
    </row>
    <row r="890" ht="14.25" customHeight="1">
      <c r="EC890" s="4"/>
      <c r="GV890" s="4"/>
    </row>
    <row r="891" ht="14.25" customHeight="1">
      <c r="EC891" s="4"/>
      <c r="GV891" s="4"/>
    </row>
    <row r="892" ht="14.25" customHeight="1">
      <c r="EC892" s="4"/>
      <c r="GV892" s="4"/>
    </row>
    <row r="893" ht="14.25" customHeight="1">
      <c r="EC893" s="4"/>
      <c r="GV893" s="4"/>
    </row>
    <row r="894" ht="14.25" customHeight="1">
      <c r="EC894" s="4"/>
      <c r="GV894" s="4"/>
    </row>
    <row r="895" ht="14.25" customHeight="1">
      <c r="EC895" s="4"/>
      <c r="GV895" s="4"/>
    </row>
    <row r="896" ht="14.25" customHeight="1">
      <c r="EC896" s="4"/>
      <c r="GV896" s="4"/>
    </row>
    <row r="897" ht="14.25" customHeight="1">
      <c r="EC897" s="4"/>
      <c r="GV897" s="4"/>
    </row>
    <row r="898" ht="14.25" customHeight="1">
      <c r="EC898" s="4"/>
      <c r="GV898" s="4"/>
    </row>
    <row r="899" ht="14.25" customHeight="1">
      <c r="EC899" s="4"/>
      <c r="GV899" s="4"/>
    </row>
    <row r="900" ht="14.25" customHeight="1">
      <c r="EC900" s="4"/>
      <c r="GV900" s="4"/>
    </row>
    <row r="901" ht="14.25" customHeight="1">
      <c r="EC901" s="4"/>
      <c r="GV901" s="4"/>
    </row>
    <row r="902" ht="14.25" customHeight="1">
      <c r="EC902" s="4"/>
      <c r="GV902" s="4"/>
    </row>
    <row r="903" ht="14.25" customHeight="1">
      <c r="EC903" s="4"/>
      <c r="GV903" s="4"/>
    </row>
    <row r="904" ht="14.25" customHeight="1">
      <c r="EC904" s="4"/>
      <c r="GV904" s="4"/>
    </row>
    <row r="905" ht="14.25" customHeight="1">
      <c r="EC905" s="4"/>
      <c r="GV905" s="4"/>
    </row>
    <row r="906" ht="14.25" customHeight="1">
      <c r="EC906" s="4"/>
      <c r="GV906" s="4"/>
    </row>
    <row r="907" ht="14.25" customHeight="1">
      <c r="EC907" s="4"/>
      <c r="GV907" s="4"/>
    </row>
    <row r="908" ht="14.25" customHeight="1">
      <c r="EC908" s="4"/>
      <c r="GV908" s="4"/>
    </row>
    <row r="909" ht="14.25" customHeight="1">
      <c r="EC909" s="4"/>
      <c r="GV909" s="4"/>
    </row>
    <row r="910" ht="14.25" customHeight="1">
      <c r="EC910" s="4"/>
      <c r="GV910" s="4"/>
    </row>
    <row r="911" ht="14.25" customHeight="1">
      <c r="EC911" s="4"/>
      <c r="GV911" s="4"/>
    </row>
    <row r="912" ht="14.25" customHeight="1">
      <c r="EC912" s="4"/>
      <c r="GV912" s="4"/>
    </row>
    <row r="913" ht="14.25" customHeight="1">
      <c r="EC913" s="4"/>
      <c r="GV913" s="4"/>
    </row>
    <row r="914" ht="14.25" customHeight="1">
      <c r="EC914" s="4"/>
      <c r="GV914" s="4"/>
    </row>
    <row r="915" ht="14.25" customHeight="1">
      <c r="EC915" s="4"/>
      <c r="GV915" s="4"/>
    </row>
    <row r="916" ht="14.25" customHeight="1">
      <c r="EC916" s="4"/>
      <c r="GV916" s="4"/>
    </row>
    <row r="917" ht="14.25" customHeight="1">
      <c r="EC917" s="4"/>
      <c r="GV917" s="4"/>
    </row>
    <row r="918" ht="14.25" customHeight="1">
      <c r="EC918" s="4"/>
      <c r="GV918" s="4"/>
    </row>
    <row r="919" ht="14.25" customHeight="1">
      <c r="EC919" s="4"/>
      <c r="GV919" s="4"/>
    </row>
    <row r="920" ht="14.25" customHeight="1">
      <c r="EC920" s="4"/>
      <c r="GV920" s="4"/>
    </row>
    <row r="921" ht="14.25" customHeight="1">
      <c r="EC921" s="4"/>
      <c r="GV921" s="4"/>
    </row>
    <row r="922" ht="14.25" customHeight="1">
      <c r="EC922" s="4"/>
      <c r="GV922" s="4"/>
    </row>
    <row r="923" ht="14.25" customHeight="1">
      <c r="EC923" s="4"/>
      <c r="GV923" s="4"/>
    </row>
    <row r="924" ht="14.25" customHeight="1">
      <c r="EC924" s="4"/>
      <c r="GV924" s="4"/>
    </row>
    <row r="925" ht="14.25" customHeight="1">
      <c r="EC925" s="4"/>
      <c r="GV925" s="4"/>
    </row>
    <row r="926" ht="14.25" customHeight="1">
      <c r="EC926" s="4"/>
      <c r="GV926" s="4"/>
    </row>
    <row r="927" ht="14.25" customHeight="1">
      <c r="EC927" s="4"/>
      <c r="GV927" s="4"/>
    </row>
    <row r="928" ht="14.25" customHeight="1">
      <c r="EC928" s="4"/>
      <c r="GV928" s="4"/>
    </row>
    <row r="929" ht="14.25" customHeight="1">
      <c r="EC929" s="4"/>
      <c r="GV929" s="4"/>
    </row>
    <row r="930" ht="14.25" customHeight="1">
      <c r="EC930" s="4"/>
      <c r="GV930" s="4"/>
    </row>
    <row r="931" ht="14.25" customHeight="1">
      <c r="EC931" s="4"/>
      <c r="GV931" s="4"/>
    </row>
    <row r="932" ht="14.25" customHeight="1">
      <c r="EC932" s="4"/>
      <c r="GV932" s="4"/>
    </row>
    <row r="933" ht="14.25" customHeight="1">
      <c r="EC933" s="4"/>
      <c r="GV933" s="4"/>
    </row>
    <row r="934" ht="14.25" customHeight="1">
      <c r="EC934" s="4"/>
      <c r="GV934" s="4"/>
    </row>
    <row r="935" ht="14.25" customHeight="1">
      <c r="EC935" s="4"/>
      <c r="GV935" s="4"/>
    </row>
    <row r="936" ht="14.25" customHeight="1">
      <c r="EC936" s="4"/>
      <c r="GV936" s="4"/>
    </row>
    <row r="937" ht="14.25" customHeight="1">
      <c r="EC937" s="4"/>
      <c r="GV937" s="4"/>
    </row>
    <row r="938" ht="14.25" customHeight="1">
      <c r="EC938" s="4"/>
      <c r="GV938" s="4"/>
    </row>
    <row r="939" ht="14.25" customHeight="1">
      <c r="EC939" s="4"/>
      <c r="GV939" s="4"/>
    </row>
    <row r="940" ht="14.25" customHeight="1">
      <c r="EC940" s="4"/>
      <c r="GV940" s="4"/>
    </row>
    <row r="941" ht="14.25" customHeight="1">
      <c r="EC941" s="4"/>
      <c r="GV941" s="4"/>
    </row>
    <row r="942" ht="14.25" customHeight="1">
      <c r="EC942" s="4"/>
      <c r="GV942" s="4"/>
    </row>
    <row r="943" ht="14.25" customHeight="1">
      <c r="EC943" s="4"/>
      <c r="GV943" s="4"/>
    </row>
    <row r="944" ht="14.25" customHeight="1">
      <c r="EC944" s="4"/>
      <c r="GV944" s="4"/>
    </row>
    <row r="945" ht="14.25" customHeight="1">
      <c r="EC945" s="4"/>
      <c r="GV945" s="4"/>
    </row>
    <row r="946" ht="14.25" customHeight="1">
      <c r="EC946" s="4"/>
      <c r="GV946" s="4"/>
    </row>
    <row r="947" ht="14.25" customHeight="1">
      <c r="EC947" s="4"/>
      <c r="GV947" s="4"/>
    </row>
    <row r="948" ht="14.25" customHeight="1">
      <c r="EC948" s="4"/>
      <c r="GV948" s="4"/>
    </row>
    <row r="949" ht="14.25" customHeight="1">
      <c r="EC949" s="4"/>
      <c r="GV949" s="4"/>
    </row>
    <row r="950" ht="14.25" customHeight="1">
      <c r="EC950" s="4"/>
      <c r="GV950" s="4"/>
    </row>
    <row r="951" ht="14.25" customHeight="1">
      <c r="EC951" s="4"/>
      <c r="GV951" s="4"/>
    </row>
    <row r="952" ht="14.25" customHeight="1">
      <c r="EC952" s="4"/>
      <c r="GV952" s="4"/>
    </row>
    <row r="953" ht="14.25" customHeight="1">
      <c r="EC953" s="4"/>
      <c r="GV953" s="4"/>
    </row>
    <row r="954" ht="14.25" customHeight="1">
      <c r="EC954" s="4"/>
      <c r="GV954" s="4"/>
    </row>
    <row r="955" ht="14.25" customHeight="1">
      <c r="EC955" s="4"/>
      <c r="GV955" s="4"/>
    </row>
    <row r="956" ht="14.25" customHeight="1">
      <c r="EC956" s="4"/>
      <c r="GV956" s="4"/>
    </row>
    <row r="957" ht="14.25" customHeight="1">
      <c r="EC957" s="4"/>
      <c r="GV957" s="4"/>
    </row>
    <row r="958" ht="14.25" customHeight="1">
      <c r="EC958" s="4"/>
      <c r="GV958" s="4"/>
    </row>
    <row r="959" ht="14.25" customHeight="1">
      <c r="EC959" s="4"/>
      <c r="GV959" s="4"/>
    </row>
    <row r="960" ht="14.25" customHeight="1">
      <c r="EC960" s="4"/>
      <c r="GV960" s="4"/>
    </row>
    <row r="961" ht="14.25" customHeight="1">
      <c r="EC961" s="4"/>
      <c r="GV961" s="4"/>
    </row>
    <row r="962" ht="14.25" customHeight="1">
      <c r="EC962" s="4"/>
      <c r="GV962" s="4"/>
    </row>
    <row r="963" ht="14.25" customHeight="1">
      <c r="EC963" s="4"/>
      <c r="GV963" s="4"/>
    </row>
    <row r="964" ht="14.25" customHeight="1">
      <c r="EC964" s="4"/>
      <c r="GV964" s="4"/>
    </row>
    <row r="965" ht="14.25" customHeight="1">
      <c r="EC965" s="4"/>
      <c r="GV965" s="4"/>
    </row>
    <row r="966" ht="14.25" customHeight="1">
      <c r="EC966" s="4"/>
      <c r="GV966" s="4"/>
    </row>
    <row r="967" ht="14.25" customHeight="1">
      <c r="EC967" s="4"/>
      <c r="GV967" s="4"/>
    </row>
    <row r="968" ht="14.25" customHeight="1">
      <c r="EC968" s="4"/>
      <c r="GV968" s="4"/>
    </row>
    <row r="969" ht="14.25" customHeight="1">
      <c r="EC969" s="4"/>
      <c r="GV969" s="4"/>
    </row>
    <row r="970" ht="14.25" customHeight="1">
      <c r="EC970" s="4"/>
      <c r="GV970" s="4"/>
    </row>
    <row r="971" ht="14.25" customHeight="1">
      <c r="EC971" s="4"/>
      <c r="GV971" s="4"/>
    </row>
    <row r="972" ht="14.25" customHeight="1">
      <c r="EC972" s="4"/>
      <c r="GV972" s="4"/>
    </row>
    <row r="973" ht="14.25" customHeight="1">
      <c r="EC973" s="4"/>
      <c r="GV973" s="4"/>
    </row>
    <row r="974" ht="14.25" customHeight="1">
      <c r="EC974" s="4"/>
      <c r="GV974" s="4"/>
    </row>
    <row r="975" ht="14.25" customHeight="1">
      <c r="EC975" s="4"/>
      <c r="GV975" s="4"/>
    </row>
    <row r="976" ht="14.25" customHeight="1">
      <c r="EC976" s="4"/>
      <c r="GV976" s="4"/>
    </row>
    <row r="977" ht="14.25" customHeight="1">
      <c r="EC977" s="4"/>
      <c r="GV977" s="4"/>
    </row>
    <row r="978" ht="14.25" customHeight="1">
      <c r="EC978" s="4"/>
      <c r="GV978" s="4"/>
    </row>
    <row r="979" ht="14.25" customHeight="1">
      <c r="EC979" s="4"/>
      <c r="GV979" s="4"/>
    </row>
    <row r="980" ht="14.25" customHeight="1">
      <c r="EC980" s="4"/>
      <c r="GV980" s="4"/>
    </row>
    <row r="981" ht="14.25" customHeight="1">
      <c r="EC981" s="4"/>
      <c r="GV981" s="4"/>
    </row>
    <row r="982" ht="14.25" customHeight="1">
      <c r="EC982" s="4"/>
      <c r="GV982" s="4"/>
    </row>
    <row r="983" ht="14.25" customHeight="1">
      <c r="EC983" s="4"/>
      <c r="GV983" s="4"/>
    </row>
    <row r="984" ht="14.25" customHeight="1">
      <c r="EC984" s="4"/>
      <c r="GV984" s="4"/>
    </row>
    <row r="985" ht="14.25" customHeight="1">
      <c r="EC985" s="4"/>
      <c r="GV985" s="4"/>
    </row>
    <row r="986" ht="14.25" customHeight="1">
      <c r="EC986" s="4"/>
      <c r="GV986" s="4"/>
    </row>
    <row r="987" ht="14.25" customHeight="1">
      <c r="EC987" s="4"/>
      <c r="GV987" s="4"/>
    </row>
    <row r="988" ht="14.25" customHeight="1">
      <c r="EC988" s="4"/>
      <c r="GV988" s="4"/>
    </row>
    <row r="989" ht="14.25" customHeight="1">
      <c r="EC989" s="4"/>
      <c r="GV989" s="4"/>
    </row>
    <row r="990" ht="14.25" customHeight="1">
      <c r="EC990" s="4"/>
      <c r="GV990" s="4"/>
    </row>
    <row r="991" ht="14.25" customHeight="1">
      <c r="EC991" s="4"/>
      <c r="GV991" s="4"/>
    </row>
    <row r="992" ht="14.25" customHeight="1">
      <c r="EC992" s="4"/>
      <c r="GV992" s="4"/>
    </row>
    <row r="993" ht="14.25" customHeight="1">
      <c r="EC993" s="4"/>
      <c r="GV993" s="4"/>
    </row>
    <row r="994" ht="14.25" customHeight="1">
      <c r="EC994" s="4"/>
      <c r="GV994" s="4"/>
    </row>
    <row r="995" ht="14.25" customHeight="1">
      <c r="EC995" s="4"/>
      <c r="GV995" s="4"/>
    </row>
    <row r="996" ht="14.25" customHeight="1">
      <c r="EC996" s="4"/>
      <c r="GV996" s="4"/>
    </row>
    <row r="997" ht="14.25" customHeight="1">
      <c r="EC997" s="4"/>
      <c r="GV997" s="4"/>
    </row>
    <row r="998" ht="14.25" customHeight="1">
      <c r="EC998" s="4"/>
      <c r="GV998" s="4"/>
    </row>
    <row r="999" ht="14.25" customHeight="1">
      <c r="EC999" s="4"/>
      <c r="GV999" s="4"/>
    </row>
    <row r="1000" ht="14.25" customHeight="1">
      <c r="EC1000" s="4"/>
      <c r="GV1000" s="4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8" width="9.38"/>
    <col customWidth="1" min="9" max="9" width="10.5"/>
    <col customWidth="1" min="10" max="191" width="9.38"/>
  </cols>
  <sheetData>
    <row r="1" ht="14.25" customHeight="1">
      <c r="A1" s="7" t="s">
        <v>82</v>
      </c>
    </row>
    <row r="2" ht="14.25" customHeight="1">
      <c r="A2" s="7" t="s">
        <v>1</v>
      </c>
    </row>
    <row r="3" ht="14.25" customHeight="1">
      <c r="A3" s="7" t="s">
        <v>0</v>
      </c>
      <c r="B3" s="28"/>
      <c r="C3" s="29">
        <v>1820.0</v>
      </c>
      <c r="D3" s="29">
        <v>1821.0</v>
      </c>
      <c r="E3" s="29">
        <v>1822.0</v>
      </c>
      <c r="F3" s="29">
        <v>1823.0</v>
      </c>
      <c r="G3" s="29">
        <v>1824.0</v>
      </c>
      <c r="H3" s="29">
        <v>1825.0</v>
      </c>
      <c r="I3" s="29">
        <v>1826.0</v>
      </c>
      <c r="J3" s="29">
        <v>1827.0</v>
      </c>
      <c r="K3" s="29">
        <v>1828.0</v>
      </c>
      <c r="L3" s="29">
        <v>1829.0</v>
      </c>
      <c r="M3" s="29">
        <v>1830.0</v>
      </c>
      <c r="N3" s="29">
        <v>1831.0</v>
      </c>
      <c r="O3" s="29">
        <v>1832.0</v>
      </c>
      <c r="P3" s="29">
        <v>1833.0</v>
      </c>
      <c r="Q3" s="29">
        <v>1834.0</v>
      </c>
      <c r="R3" s="29">
        <v>1835.0</v>
      </c>
      <c r="S3" s="29">
        <v>1836.0</v>
      </c>
      <c r="T3" s="29">
        <v>1837.0</v>
      </c>
      <c r="U3" s="29">
        <v>1838.0</v>
      </c>
      <c r="V3" s="29">
        <v>1839.0</v>
      </c>
      <c r="W3" s="29">
        <v>1840.0</v>
      </c>
      <c r="X3" s="29">
        <v>1841.0</v>
      </c>
      <c r="Y3" s="29">
        <v>1842.0</v>
      </c>
      <c r="Z3" s="29">
        <v>1843.0</v>
      </c>
      <c r="AA3" s="29">
        <v>1844.0</v>
      </c>
      <c r="AB3" s="29">
        <v>1845.0</v>
      </c>
      <c r="AC3" s="29">
        <v>1846.0</v>
      </c>
      <c r="AD3" s="29">
        <v>1847.0</v>
      </c>
      <c r="AE3" s="29">
        <v>1848.0</v>
      </c>
      <c r="AF3" s="29">
        <v>1849.0</v>
      </c>
      <c r="AG3" s="29">
        <v>1850.0</v>
      </c>
      <c r="AH3" s="29">
        <v>1851.0</v>
      </c>
      <c r="AI3" s="29">
        <v>1852.0</v>
      </c>
      <c r="AJ3" s="29">
        <v>1853.0</v>
      </c>
      <c r="AK3" s="29">
        <v>1854.0</v>
      </c>
      <c r="AL3" s="29">
        <v>1855.0</v>
      </c>
      <c r="AM3" s="29">
        <v>1856.0</v>
      </c>
      <c r="AN3" s="29">
        <v>1857.0</v>
      </c>
      <c r="AO3" s="29">
        <v>1858.0</v>
      </c>
      <c r="AP3" s="29">
        <v>1859.0</v>
      </c>
      <c r="AQ3" s="29">
        <v>1860.0</v>
      </c>
      <c r="AR3" s="29">
        <v>1861.0</v>
      </c>
      <c r="AS3" s="29">
        <v>1862.0</v>
      </c>
      <c r="AT3" s="29">
        <v>1863.0</v>
      </c>
      <c r="AU3" s="29">
        <v>1864.0</v>
      </c>
      <c r="AV3" s="29">
        <v>1865.0</v>
      </c>
      <c r="AW3" s="29">
        <v>1866.0</v>
      </c>
      <c r="AX3" s="29">
        <v>1867.0</v>
      </c>
      <c r="AY3" s="29">
        <v>1868.0</v>
      </c>
      <c r="AZ3" s="29">
        <v>1869.0</v>
      </c>
      <c r="BA3" s="29">
        <v>1870.0</v>
      </c>
      <c r="BB3" s="29">
        <v>1871.0</v>
      </c>
      <c r="BC3" s="29">
        <v>1872.0</v>
      </c>
      <c r="BD3" s="29">
        <v>1873.0</v>
      </c>
      <c r="BE3" s="29">
        <v>1874.0</v>
      </c>
      <c r="BF3" s="29">
        <v>1875.0</v>
      </c>
      <c r="BG3" s="29">
        <v>1876.0</v>
      </c>
      <c r="BH3" s="29">
        <v>1877.0</v>
      </c>
      <c r="BI3" s="29">
        <v>1878.0</v>
      </c>
      <c r="BJ3" s="29">
        <v>1879.0</v>
      </c>
      <c r="BK3" s="29">
        <v>1880.0</v>
      </c>
      <c r="BL3" s="29">
        <v>1881.0</v>
      </c>
      <c r="BM3" s="29">
        <v>1882.0</v>
      </c>
      <c r="BN3" s="29">
        <v>1883.0</v>
      </c>
      <c r="BO3" s="29">
        <v>1884.0</v>
      </c>
      <c r="BP3" s="29">
        <v>1885.0</v>
      </c>
      <c r="BQ3" s="29">
        <v>1886.0</v>
      </c>
      <c r="BR3" s="29">
        <v>1887.0</v>
      </c>
      <c r="BS3" s="29">
        <v>1888.0</v>
      </c>
      <c r="BT3" s="29">
        <v>1889.0</v>
      </c>
      <c r="BU3" s="29">
        <v>1890.0</v>
      </c>
      <c r="BV3" s="29">
        <v>1891.0</v>
      </c>
      <c r="BW3" s="29">
        <v>1892.0</v>
      </c>
      <c r="BX3" s="29">
        <v>1893.0</v>
      </c>
      <c r="BY3" s="29">
        <v>1894.0</v>
      </c>
      <c r="BZ3" s="29">
        <v>1895.0</v>
      </c>
      <c r="CA3" s="29">
        <v>1896.0</v>
      </c>
      <c r="CB3" s="29">
        <v>1897.0</v>
      </c>
      <c r="CC3" s="29">
        <v>1898.0</v>
      </c>
      <c r="CD3" s="29">
        <v>1899.0</v>
      </c>
      <c r="CE3" s="29">
        <v>1900.0</v>
      </c>
      <c r="CF3" s="29">
        <v>1901.0</v>
      </c>
      <c r="CG3" s="29">
        <v>1902.0</v>
      </c>
      <c r="CH3" s="29">
        <v>1903.0</v>
      </c>
      <c r="CI3" s="29">
        <v>1904.0</v>
      </c>
      <c r="CJ3" s="29">
        <v>1905.0</v>
      </c>
      <c r="CK3" s="29">
        <v>1906.0</v>
      </c>
      <c r="CL3" s="29">
        <v>1907.0</v>
      </c>
      <c r="CM3" s="29">
        <v>1908.0</v>
      </c>
      <c r="CN3" s="29">
        <v>1909.0</v>
      </c>
      <c r="CO3" s="29">
        <v>1910.0</v>
      </c>
      <c r="CP3" s="29">
        <v>1911.0</v>
      </c>
      <c r="CQ3" s="29">
        <v>1912.0</v>
      </c>
      <c r="CR3" s="29">
        <v>1913.0</v>
      </c>
      <c r="CS3" s="29">
        <v>1914.0</v>
      </c>
      <c r="CT3" s="29">
        <v>1915.0</v>
      </c>
      <c r="CU3" s="29">
        <v>1916.0</v>
      </c>
      <c r="CV3" s="29">
        <v>1917.0</v>
      </c>
      <c r="CW3" s="29">
        <v>1918.0</v>
      </c>
      <c r="CX3" s="29">
        <v>1919.0</v>
      </c>
      <c r="CY3" s="29">
        <v>1920.0</v>
      </c>
      <c r="CZ3" s="29">
        <v>1921.0</v>
      </c>
      <c r="DA3" s="29">
        <v>1922.0</v>
      </c>
      <c r="DB3" s="29">
        <v>1923.0</v>
      </c>
      <c r="DC3" s="29">
        <v>1924.0</v>
      </c>
      <c r="DD3" s="29">
        <v>1925.0</v>
      </c>
      <c r="DE3" s="29">
        <v>1926.0</v>
      </c>
      <c r="DF3" s="29">
        <v>1927.0</v>
      </c>
      <c r="DG3" s="29">
        <v>1928.0</v>
      </c>
      <c r="DH3" s="29">
        <v>1929.0</v>
      </c>
      <c r="DI3" s="29">
        <v>1930.0</v>
      </c>
      <c r="DJ3" s="29">
        <v>1931.0</v>
      </c>
      <c r="DK3" s="29">
        <v>1932.0</v>
      </c>
      <c r="DL3" s="29">
        <v>1933.0</v>
      </c>
      <c r="DM3" s="29">
        <v>1934.0</v>
      </c>
      <c r="DN3" s="29">
        <v>1935.0</v>
      </c>
      <c r="DO3" s="29">
        <v>1936.0</v>
      </c>
      <c r="DP3" s="29">
        <v>1937.0</v>
      </c>
      <c r="DQ3" s="29">
        <v>1938.0</v>
      </c>
      <c r="DR3" s="29">
        <v>1939.0</v>
      </c>
      <c r="DS3" s="29">
        <v>1940.0</v>
      </c>
      <c r="DT3" s="29">
        <v>1941.0</v>
      </c>
      <c r="DU3" s="29">
        <v>1942.0</v>
      </c>
      <c r="DV3" s="29">
        <v>1943.0</v>
      </c>
      <c r="DW3" s="29">
        <v>1944.0</v>
      </c>
      <c r="DX3" s="29">
        <v>1945.0</v>
      </c>
      <c r="DY3" s="29">
        <v>1946.0</v>
      </c>
      <c r="DZ3" s="29">
        <v>1947.0</v>
      </c>
      <c r="EA3" s="29">
        <v>1948.0</v>
      </c>
      <c r="EB3" s="29">
        <v>1949.0</v>
      </c>
      <c r="EC3" s="29">
        <v>1950.0</v>
      </c>
      <c r="ED3" s="29">
        <v>1951.0</v>
      </c>
      <c r="EE3" s="29">
        <v>1952.0</v>
      </c>
      <c r="EF3" s="29">
        <v>1953.0</v>
      </c>
      <c r="EG3" s="29">
        <v>1954.0</v>
      </c>
      <c r="EH3" s="29">
        <v>1955.0</v>
      </c>
      <c r="EI3" s="29">
        <v>1956.0</v>
      </c>
      <c r="EJ3" s="29">
        <v>1957.0</v>
      </c>
      <c r="EK3" s="29">
        <v>1958.0</v>
      </c>
      <c r="EL3" s="29">
        <v>1959.0</v>
      </c>
      <c r="EM3" s="29">
        <v>1960.0</v>
      </c>
      <c r="EN3" s="29">
        <v>1961.0</v>
      </c>
      <c r="EO3" s="29">
        <v>1962.0</v>
      </c>
      <c r="EP3" s="29">
        <v>1963.0</v>
      </c>
      <c r="EQ3" s="29">
        <v>1964.0</v>
      </c>
      <c r="ER3" s="29">
        <v>1965.0</v>
      </c>
      <c r="ES3" s="29">
        <v>1966.0</v>
      </c>
      <c r="ET3" s="29">
        <v>1967.0</v>
      </c>
      <c r="EU3" s="29">
        <v>1968.0</v>
      </c>
      <c r="EV3" s="29">
        <v>1969.0</v>
      </c>
      <c r="EW3" s="29">
        <v>1970.0</v>
      </c>
      <c r="EX3" s="29">
        <v>1971.0</v>
      </c>
      <c r="EY3" s="29">
        <v>1972.0</v>
      </c>
      <c r="EZ3" s="29">
        <v>1973.0</v>
      </c>
      <c r="FA3" s="29">
        <v>1974.0</v>
      </c>
      <c r="FB3" s="29">
        <v>1975.0</v>
      </c>
      <c r="FC3" s="29">
        <v>1976.0</v>
      </c>
      <c r="FD3" s="29">
        <v>1977.0</v>
      </c>
      <c r="FE3" s="29">
        <v>1978.0</v>
      </c>
      <c r="FF3" s="29">
        <v>1979.0</v>
      </c>
      <c r="FG3" s="29">
        <v>1980.0</v>
      </c>
      <c r="FH3" s="29">
        <v>1981.0</v>
      </c>
      <c r="FI3" s="29">
        <v>1982.0</v>
      </c>
      <c r="FJ3" s="29">
        <v>1983.0</v>
      </c>
      <c r="FK3" s="29">
        <v>1984.0</v>
      </c>
      <c r="FL3" s="29">
        <v>1985.0</v>
      </c>
      <c r="FM3" s="29">
        <v>1986.0</v>
      </c>
      <c r="FN3" s="29">
        <v>1987.0</v>
      </c>
      <c r="FO3" s="29">
        <v>1988.0</v>
      </c>
      <c r="FP3" s="29">
        <v>1989.0</v>
      </c>
      <c r="FQ3" s="29">
        <v>1990.0</v>
      </c>
      <c r="FR3" s="29">
        <v>1991.0</v>
      </c>
      <c r="FS3" s="29">
        <v>1992.0</v>
      </c>
      <c r="FT3" s="29">
        <v>1993.0</v>
      </c>
      <c r="FU3" s="29">
        <v>1994.0</v>
      </c>
      <c r="FV3" s="29">
        <v>1995.0</v>
      </c>
      <c r="FW3" s="29">
        <v>1996.0</v>
      </c>
      <c r="FX3" s="29">
        <v>1997.0</v>
      </c>
      <c r="FY3" s="29">
        <v>1998.0</v>
      </c>
      <c r="FZ3" s="29">
        <v>1999.0</v>
      </c>
      <c r="GA3" s="29">
        <v>2000.0</v>
      </c>
      <c r="GB3" s="29">
        <v>2001.0</v>
      </c>
      <c r="GC3" s="29">
        <v>2002.0</v>
      </c>
      <c r="GD3" s="29">
        <v>2003.0</v>
      </c>
      <c r="GE3" s="29">
        <v>2004.0</v>
      </c>
      <c r="GF3" s="29">
        <v>2005.0</v>
      </c>
      <c r="GG3" s="29">
        <v>2006.0</v>
      </c>
      <c r="GH3" s="29">
        <v>2007.0</v>
      </c>
      <c r="GI3" s="29">
        <v>2008.0</v>
      </c>
    </row>
    <row r="4" ht="14.25" customHeight="1">
      <c r="A4" s="7" t="s">
        <v>83</v>
      </c>
      <c r="B4" s="30" t="s">
        <v>84</v>
      </c>
      <c r="C4" s="31">
        <v>35468.0</v>
      </c>
      <c r="D4" s="31">
        <v>38524.0</v>
      </c>
      <c r="E4" s="31">
        <v>37267.0</v>
      </c>
      <c r="F4" s="31">
        <v>38706.0</v>
      </c>
      <c r="G4" s="31">
        <v>40025.0</v>
      </c>
      <c r="H4" s="31">
        <v>38526.0</v>
      </c>
      <c r="I4" s="31">
        <v>39783.0</v>
      </c>
      <c r="J4" s="31">
        <v>39179.0</v>
      </c>
      <c r="K4" s="31">
        <v>39158.0</v>
      </c>
      <c r="L4" s="31">
        <v>40415.0</v>
      </c>
      <c r="M4" s="31">
        <v>39655.0</v>
      </c>
      <c r="N4" s="31">
        <v>40378.0</v>
      </c>
      <c r="O4" s="31">
        <v>44090.0</v>
      </c>
      <c r="P4" s="31">
        <v>43416.0</v>
      </c>
      <c r="Q4" s="31">
        <v>43663.0</v>
      </c>
      <c r="R4" s="31">
        <v>45312.0</v>
      </c>
      <c r="S4" s="31">
        <v>44803.0</v>
      </c>
      <c r="T4" s="31">
        <v>45669.0</v>
      </c>
      <c r="U4" s="31">
        <v>47899.0</v>
      </c>
      <c r="V4" s="31">
        <v>46367.0</v>
      </c>
      <c r="W4" s="31">
        <v>49828.0</v>
      </c>
      <c r="X4" s="31">
        <v>51045.0</v>
      </c>
      <c r="Y4" s="31">
        <v>49933.0</v>
      </c>
      <c r="Z4" s="31">
        <v>52595.0</v>
      </c>
      <c r="AA4" s="31">
        <v>54497.0</v>
      </c>
      <c r="AB4" s="31">
        <v>52833.0</v>
      </c>
      <c r="AC4" s="31">
        <v>52965.0</v>
      </c>
      <c r="AD4" s="31">
        <v>58806.0</v>
      </c>
      <c r="AE4" s="31">
        <v>55198.0</v>
      </c>
      <c r="AF4" s="31">
        <v>56933.0</v>
      </c>
      <c r="AG4" s="31">
        <v>58039.0</v>
      </c>
      <c r="AH4" s="31">
        <v>57188.0</v>
      </c>
      <c r="AI4" s="31">
        <v>60931.0</v>
      </c>
      <c r="AJ4" s="31">
        <v>57969.0</v>
      </c>
      <c r="AK4" s="31">
        <v>60763.0</v>
      </c>
      <c r="AL4" s="31">
        <v>59842.0</v>
      </c>
      <c r="AM4" s="31">
        <v>62469.0</v>
      </c>
      <c r="AN4" s="31">
        <v>66038.0</v>
      </c>
      <c r="AO4" s="31">
        <v>70645.0</v>
      </c>
      <c r="AP4" s="31">
        <v>66046.0</v>
      </c>
      <c r="AQ4" s="31">
        <v>70577.0</v>
      </c>
      <c r="AR4" s="31">
        <v>66154.0</v>
      </c>
      <c r="AS4" s="31">
        <v>71812.0</v>
      </c>
      <c r="AT4" s="31">
        <v>74416.0</v>
      </c>
      <c r="AU4" s="31">
        <v>75256.0</v>
      </c>
      <c r="AV4" s="31">
        <v>73157.0</v>
      </c>
      <c r="AW4" s="31">
        <v>73651.0</v>
      </c>
      <c r="AX4" s="31">
        <v>69308.0</v>
      </c>
      <c r="AY4" s="31">
        <v>75958.0</v>
      </c>
      <c r="AZ4" s="31">
        <v>78029.0</v>
      </c>
      <c r="BA4" s="31">
        <v>72100.011</v>
      </c>
      <c r="BB4" s="31">
        <v>71666.54400000001</v>
      </c>
      <c r="BC4" s="31">
        <v>78313.038</v>
      </c>
      <c r="BD4" s="31">
        <v>72822.45599999999</v>
      </c>
      <c r="BE4" s="31">
        <v>82069.752</v>
      </c>
      <c r="BF4" s="31">
        <v>84815.043</v>
      </c>
      <c r="BG4" s="31">
        <v>77879.571</v>
      </c>
      <c r="BH4" s="31">
        <v>82069.752</v>
      </c>
      <c r="BI4" s="31">
        <v>81058.329</v>
      </c>
      <c r="BJ4" s="31">
        <v>76001.214</v>
      </c>
      <c r="BK4" s="31">
        <v>82792.19699999999</v>
      </c>
      <c r="BL4" s="31">
        <v>85970.955</v>
      </c>
      <c r="BM4" s="31">
        <v>90016.647</v>
      </c>
      <c r="BN4" s="31">
        <v>90305.625</v>
      </c>
      <c r="BO4" s="31">
        <v>89294.20199999999</v>
      </c>
      <c r="BP4" s="31">
        <v>87704.823</v>
      </c>
      <c r="BQ4" s="31">
        <v>89149.713</v>
      </c>
      <c r="BR4" s="31">
        <v>89727.66900000001</v>
      </c>
      <c r="BS4" s="31">
        <v>90594.603</v>
      </c>
      <c r="BT4" s="31">
        <v>92906.427</v>
      </c>
      <c r="BU4" s="31">
        <v>95073.76199999999</v>
      </c>
      <c r="BV4" s="31">
        <v>97241.097</v>
      </c>
      <c r="BW4" s="31">
        <v>99697.41</v>
      </c>
      <c r="BX4" s="31">
        <v>101431.278</v>
      </c>
      <c r="BY4" s="31">
        <v>105187.992</v>
      </c>
      <c r="BZ4" s="31">
        <v>103020.657</v>
      </c>
      <c r="CA4" s="31">
        <v>107933.28300000001</v>
      </c>
      <c r="CB4" s="31">
        <v>106488.39300000001</v>
      </c>
      <c r="CC4" s="31">
        <v>111689.99699999999</v>
      </c>
      <c r="CD4" s="31">
        <v>118047.513</v>
      </c>
      <c r="CE4" s="31">
        <v>116747.112</v>
      </c>
      <c r="CF4" s="31">
        <v>114868.755</v>
      </c>
      <c r="CG4" s="31">
        <v>112990.398</v>
      </c>
      <c r="CH4" s="31">
        <v>115446.71100000001</v>
      </c>
      <c r="CI4" s="31">
        <v>116313.645</v>
      </c>
      <c r="CJ4" s="31">
        <v>118336.49100000001</v>
      </c>
      <c r="CK4" s="31">
        <v>120503.82600000002</v>
      </c>
      <c r="CL4" s="31">
        <v>125705.43</v>
      </c>
      <c r="CM4" s="31">
        <v>124982.985</v>
      </c>
      <c r="CN4" s="31">
        <v>130184.58899999998</v>
      </c>
      <c r="CO4" s="31">
        <v>122237.69399999999</v>
      </c>
      <c r="CP4" s="31">
        <v>134230.28100000002</v>
      </c>
      <c r="CQ4" s="31">
        <v>145355.93399999998</v>
      </c>
      <c r="CR4" s="31">
        <v>144489.0</v>
      </c>
      <c r="CS4" s="31">
        <v>134230.28100000002</v>
      </c>
      <c r="CT4" s="31">
        <v>131484.99</v>
      </c>
      <c r="CU4" s="31">
        <v>138131.484</v>
      </c>
      <c r="CV4" s="31">
        <v>117036.09</v>
      </c>
      <c r="CW4" s="31">
        <v>92328.47099999999</v>
      </c>
      <c r="CX4" s="31">
        <v>108800.21699999999</v>
      </c>
      <c r="CY4" s="31">
        <v>125849.91899999998</v>
      </c>
      <c r="CZ4" s="31">
        <v>120648.315</v>
      </c>
      <c r="DA4" s="31">
        <v>142321.665</v>
      </c>
      <c r="DB4" s="31">
        <v>149690.604</v>
      </c>
      <c r="DC4" s="31">
        <v>168474.174</v>
      </c>
      <c r="DD4" s="31">
        <v>169196.61899999998</v>
      </c>
      <c r="DE4" s="31">
        <v>173675.77800000002</v>
      </c>
      <c r="DF4" s="31">
        <v>170063.553</v>
      </c>
      <c r="DG4" s="31">
        <v>181911.651</v>
      </c>
      <c r="DH4" s="31">
        <v>194193.21600000001</v>
      </c>
      <c r="DI4" s="31">
        <v>188558.145</v>
      </c>
      <c r="DJ4" s="31">
        <v>177288.003</v>
      </c>
      <c r="DK4" s="31">
        <v>165728.883</v>
      </c>
      <c r="DL4" s="31">
        <v>177576.98100000003</v>
      </c>
      <c r="DM4" s="31">
        <v>175843.113</v>
      </c>
      <c r="DN4" s="31">
        <v>171363.954</v>
      </c>
      <c r="DO4" s="31">
        <v>177865.95899999997</v>
      </c>
      <c r="DP4" s="31">
        <v>188124.67799999996</v>
      </c>
      <c r="DQ4" s="31">
        <v>187402.23299999998</v>
      </c>
      <c r="DR4" s="31">
        <v>200839.71</v>
      </c>
      <c r="DS4" s="31">
        <v>165728.883</v>
      </c>
      <c r="DT4" s="31">
        <v>131051.523</v>
      </c>
      <c r="DU4" s="31">
        <v>117469.55699999999</v>
      </c>
      <c r="DV4" s="31">
        <v>111545.508</v>
      </c>
      <c r="DW4" s="31">
        <v>94206.82800000001</v>
      </c>
      <c r="DX4" s="31">
        <v>102153.72300000001</v>
      </c>
      <c r="DY4" s="31">
        <v>155325.675</v>
      </c>
      <c r="DZ4" s="31">
        <v>168329.685</v>
      </c>
      <c r="EA4" s="31">
        <v>180611.25</v>
      </c>
      <c r="EB4" s="31">
        <v>205174.38</v>
      </c>
      <c r="EC4" s="31">
        <v>220492.0</v>
      </c>
      <c r="ED4" s="31">
        <v>234074.0</v>
      </c>
      <c r="EE4" s="31">
        <v>240287.0</v>
      </c>
      <c r="EF4" s="31">
        <v>247223.0</v>
      </c>
      <c r="EG4" s="31">
        <v>259215.0</v>
      </c>
      <c r="EH4" s="31">
        <v>274098.0</v>
      </c>
      <c r="EI4" s="31">
        <v>287969.0</v>
      </c>
      <c r="EJ4" s="31">
        <v>305308.0</v>
      </c>
      <c r="EK4" s="31">
        <v>312966.0</v>
      </c>
      <c r="EL4" s="31">
        <v>321924.0</v>
      </c>
      <c r="EM4" s="31">
        <v>344609.0</v>
      </c>
      <c r="EN4" s="31">
        <v>363754.0</v>
      </c>
      <c r="EO4" s="31">
        <v>387937.0</v>
      </c>
      <c r="EP4" s="31">
        <v>408090.0</v>
      </c>
      <c r="EQ4" s="31">
        <v>435296.0</v>
      </c>
      <c r="ER4" s="31">
        <v>456456.0</v>
      </c>
      <c r="ES4" s="31">
        <v>479631.0</v>
      </c>
      <c r="ET4" s="31">
        <v>501799.0</v>
      </c>
      <c r="EU4" s="31">
        <v>523967.0</v>
      </c>
      <c r="EV4" s="31">
        <v>560280.0</v>
      </c>
      <c r="EW4" s="31">
        <v>592389.0</v>
      </c>
      <c r="EX4" s="31">
        <v>621055.0</v>
      </c>
      <c r="EY4" s="31">
        <v>648668.0</v>
      </c>
      <c r="EZ4" s="31">
        <v>683965.0</v>
      </c>
      <c r="FA4" s="31">
        <v>704012.0</v>
      </c>
      <c r="FB4" s="31">
        <v>699106.0</v>
      </c>
      <c r="FC4" s="31">
        <v>729326.0</v>
      </c>
      <c r="FD4" s="31">
        <v>756545.0</v>
      </c>
      <c r="FE4" s="31">
        <v>777544.0</v>
      </c>
      <c r="FF4" s="31">
        <v>802491.0</v>
      </c>
      <c r="FG4" s="31">
        <v>813763.0</v>
      </c>
      <c r="FH4" s="31">
        <v>822116.0</v>
      </c>
      <c r="FI4" s="31">
        <v>842787.0</v>
      </c>
      <c r="FJ4" s="31">
        <v>852644.0</v>
      </c>
      <c r="FK4" s="31">
        <v>865172.0</v>
      </c>
      <c r="FL4" s="31">
        <v>877305.0</v>
      </c>
      <c r="FM4" s="31">
        <v>898129.0</v>
      </c>
      <c r="FN4" s="31">
        <v>920822.0</v>
      </c>
      <c r="FO4" s="31">
        <v>961287.0</v>
      </c>
      <c r="FP4" s="31">
        <v>1000286.0</v>
      </c>
      <c r="FQ4" s="31">
        <v>1026491.0</v>
      </c>
      <c r="FR4" s="32">
        <v>1038922.0270211326</v>
      </c>
      <c r="FS4" s="32">
        <v>1059124.6592763506</v>
      </c>
      <c r="FT4" s="32">
        <v>1048641.2889702288</v>
      </c>
      <c r="FU4" s="32">
        <v>1070472.6808195603</v>
      </c>
      <c r="FV4" s="32">
        <v>1095671.8646933176</v>
      </c>
      <c r="FW4" s="32">
        <v>1107663.8164866953</v>
      </c>
      <c r="FX4" s="32">
        <v>1134262.2732413977</v>
      </c>
      <c r="FY4" s="32">
        <v>1163069.0</v>
      </c>
      <c r="FZ4" s="32">
        <v>1201508.0</v>
      </c>
      <c r="GA4" s="32">
        <v>1248521.0</v>
      </c>
      <c r="GB4" s="32">
        <v>1271617.0</v>
      </c>
      <c r="GC4" s="32">
        <v>1284653.0</v>
      </c>
      <c r="GD4" s="32">
        <v>1298819.0</v>
      </c>
      <c r="GE4" s="32">
        <v>1329614.0</v>
      </c>
      <c r="GF4" s="31">
        <v>1354877.0</v>
      </c>
      <c r="GG4" s="31">
        <v>1387394.0</v>
      </c>
      <c r="GH4" s="31">
        <v>1419304.0</v>
      </c>
      <c r="GI4" s="31">
        <v>1423562.0</v>
      </c>
    </row>
    <row r="5" ht="14.25" customHeight="1">
      <c r="A5" s="7" t="s">
        <v>85</v>
      </c>
      <c r="B5" s="30" t="s">
        <v>84</v>
      </c>
      <c r="C5" s="31">
        <v>1134.9759999999999</v>
      </c>
      <c r="D5" s="31">
        <v>1224.53909726637</v>
      </c>
      <c r="E5" s="31">
        <v>1176.1716900741676</v>
      </c>
      <c r="F5" s="31">
        <v>1213.1640808650682</v>
      </c>
      <c r="G5" s="31">
        <v>1245.836835060852</v>
      </c>
      <c r="H5" s="31">
        <v>1190.9119010819165</v>
      </c>
      <c r="I5" s="31">
        <v>1222.6627328047207</v>
      </c>
      <c r="J5" s="31">
        <v>1197.1460873285055</v>
      </c>
      <c r="K5" s="31">
        <v>1189.5980800194427</v>
      </c>
      <c r="L5" s="31">
        <v>1220.7019451492088</v>
      </c>
      <c r="M5" s="31">
        <v>1190.8408408408409</v>
      </c>
      <c r="N5" s="31">
        <v>1207.5121863692095</v>
      </c>
      <c r="O5" s="31">
        <v>1312.2804928864814</v>
      </c>
      <c r="P5" s="31">
        <v>1287.6208553294978</v>
      </c>
      <c r="Q5" s="31">
        <v>1289.5537375586994</v>
      </c>
      <c r="R5" s="31">
        <v>1332.7058823529412</v>
      </c>
      <c r="S5" s="31">
        <v>1310.872491076131</v>
      </c>
      <c r="T5" s="31">
        <v>1329.248770265157</v>
      </c>
      <c r="U5" s="31">
        <v>1386.8894229377188</v>
      </c>
      <c r="V5" s="31">
        <v>1335.532000691284</v>
      </c>
      <c r="W5" s="31">
        <v>1427.7363896848137</v>
      </c>
      <c r="X5" s="31">
        <v>1455.9742148948915</v>
      </c>
      <c r="Y5" s="31">
        <v>1417.826111647453</v>
      </c>
      <c r="Z5" s="31">
        <v>1486.658375261462</v>
      </c>
      <c r="AA5" s="31">
        <v>1533.4421339936407</v>
      </c>
      <c r="AB5" s="31">
        <v>1479.9159663865546</v>
      </c>
      <c r="AC5" s="31">
        <v>1478.2717910072847</v>
      </c>
      <c r="AD5" s="31">
        <v>1635.3624961762007</v>
      </c>
      <c r="AE5" s="31">
        <v>1529.4965224860762</v>
      </c>
      <c r="AF5" s="31">
        <v>1571.9097711146085</v>
      </c>
      <c r="AG5" s="31">
        <v>1596.6712517193948</v>
      </c>
      <c r="AH5" s="31">
        <v>1567.6964829079745</v>
      </c>
      <c r="AI5" s="31">
        <v>1664.3721489251277</v>
      </c>
      <c r="AJ5" s="31">
        <v>1577.860039739786</v>
      </c>
      <c r="AK5" s="31">
        <v>1648.0783313895142</v>
      </c>
      <c r="AL5" s="31">
        <v>1617.3513513513512</v>
      </c>
      <c r="AM5" s="31">
        <v>1685.6179168915273</v>
      </c>
      <c r="AN5" s="31">
        <v>1779.040948275862</v>
      </c>
      <c r="AO5" s="31">
        <v>1900.080688542227</v>
      </c>
      <c r="AP5" s="31">
        <v>1773.5230934479055</v>
      </c>
      <c r="AQ5" s="31">
        <v>1892.1447721179625</v>
      </c>
      <c r="AR5" s="31">
        <v>1769.296603369885</v>
      </c>
      <c r="AS5" s="31">
        <v>1913.9658848614072</v>
      </c>
      <c r="AT5" s="31">
        <v>1973.3757623972422</v>
      </c>
      <c r="AU5" s="31">
        <v>1987.744321183307</v>
      </c>
      <c r="AV5" s="31">
        <v>1924.1714886901632</v>
      </c>
      <c r="AW5" s="31">
        <v>1934.1123949579833</v>
      </c>
      <c r="AX5" s="31">
        <v>1812.9217891708083</v>
      </c>
      <c r="AY5" s="31">
        <v>1981.6853639446908</v>
      </c>
      <c r="AZ5" s="31">
        <v>2006.4026742093083</v>
      </c>
      <c r="BA5" s="31">
        <v>1875.6506503642038</v>
      </c>
      <c r="BB5" s="31">
        <v>1899.4074898624476</v>
      </c>
      <c r="BC5" s="31">
        <v>2078.426656758407</v>
      </c>
      <c r="BD5" s="31">
        <v>1922.0961279594583</v>
      </c>
      <c r="BE5" s="31">
        <v>2157.2324676690146</v>
      </c>
      <c r="BF5" s="31">
        <v>2219.069176630648</v>
      </c>
      <c r="BG5" s="31">
        <v>2028.2194645554457</v>
      </c>
      <c r="BH5" s="31">
        <v>2127.4821650767317</v>
      </c>
      <c r="BI5" s="31">
        <v>2091.1263060134665</v>
      </c>
      <c r="BJ5" s="31">
        <v>1953.3067927728805</v>
      </c>
      <c r="BK5" s="31">
        <v>2120.430195927775</v>
      </c>
      <c r="BL5" s="31">
        <v>2193.6402490367686</v>
      </c>
      <c r="BM5" s="31">
        <v>2288.3455016905205</v>
      </c>
      <c r="BN5" s="31">
        <v>2287.840114511552</v>
      </c>
      <c r="BO5" s="31">
        <v>2253.2539806707205</v>
      </c>
      <c r="BP5" s="31">
        <v>2207.354667404928</v>
      </c>
      <c r="BQ5" s="31">
        <v>2236.6830498268855</v>
      </c>
      <c r="BR5" s="31">
        <v>2249.433904083833</v>
      </c>
      <c r="BS5" s="31">
        <v>2269.403882765531</v>
      </c>
      <c r="BT5" s="31">
        <v>2322.428432156784</v>
      </c>
      <c r="BU5" s="31">
        <v>2376.012445644024</v>
      </c>
      <c r="BV5" s="31">
        <v>2432.0610509466524</v>
      </c>
      <c r="BW5" s="31">
        <v>2492.87150251294</v>
      </c>
      <c r="BX5" s="31">
        <v>2534.8947368421054</v>
      </c>
      <c r="BY5" s="31">
        <v>2626.0233672858</v>
      </c>
      <c r="BZ5" s="31">
        <v>2569.2218315127934</v>
      </c>
      <c r="CA5" s="31">
        <v>2685.4419536226114</v>
      </c>
      <c r="CB5" s="31">
        <v>2639.248364231189</v>
      </c>
      <c r="CC5" s="31">
        <v>2759.617448669483</v>
      </c>
      <c r="CD5" s="31">
        <v>2911.446579194002</v>
      </c>
      <c r="CE5" s="31">
        <v>2875.6862899650228</v>
      </c>
      <c r="CF5" s="31">
        <v>2826.4949557086616</v>
      </c>
      <c r="CG5" s="31">
        <v>2775.290398644168</v>
      </c>
      <c r="CH5" s="31">
        <v>2830.547516304615</v>
      </c>
      <c r="CI5" s="31">
        <v>2846.708069213637</v>
      </c>
      <c r="CJ5" s="31">
        <v>2894.020322817315</v>
      </c>
      <c r="CK5" s="31">
        <v>2943.2813736505304</v>
      </c>
      <c r="CL5" s="31">
        <v>3070.3294904987542</v>
      </c>
      <c r="CM5" s="31">
        <v>3044.949203332846</v>
      </c>
      <c r="CN5" s="31">
        <v>3166.8147850835576</v>
      </c>
      <c r="CO5" s="31">
        <v>2965.207015330875</v>
      </c>
      <c r="CP5" s="31">
        <v>3249.5770934708407</v>
      </c>
      <c r="CQ5" s="31">
        <v>3514.4934355279374</v>
      </c>
      <c r="CR5" s="31">
        <v>3484.769553577889</v>
      </c>
      <c r="CS5" s="31">
        <v>3236.3362185360215</v>
      </c>
      <c r="CT5" s="31">
        <v>3248.06674736296</v>
      </c>
      <c r="CU5" s="31">
        <v>3463.3307592016845</v>
      </c>
      <c r="CV5" s="31">
        <v>2978.927153329261</v>
      </c>
      <c r="CW5" s="31">
        <v>2395.528799750921</v>
      </c>
      <c r="CX5" s="31">
        <v>2811.3751162790695</v>
      </c>
      <c r="CY5" s="31">
        <v>3226.9209999999994</v>
      </c>
      <c r="CZ5" s="31">
        <v>3074.625764525994</v>
      </c>
      <c r="DA5" s="31">
        <v>3610.3923135464233</v>
      </c>
      <c r="DB5" s="31">
        <v>3753.525677031093</v>
      </c>
      <c r="DC5" s="31">
        <v>4179.463507814437</v>
      </c>
      <c r="DD5" s="31">
        <v>4166.3782073380935</v>
      </c>
      <c r="DE5" s="31">
        <v>4249.4685099094695</v>
      </c>
      <c r="DF5" s="31">
        <v>4153.970517830973</v>
      </c>
      <c r="DG5" s="31">
        <v>4431.465310596834</v>
      </c>
      <c r="DH5" s="31">
        <v>4709.9979626485565</v>
      </c>
      <c r="DI5" s="31">
        <v>4531.558399423215</v>
      </c>
      <c r="DJ5" s="31">
        <v>4235.260463449594</v>
      </c>
      <c r="DK5" s="31">
        <v>3959.122861920688</v>
      </c>
      <c r="DL5" s="31">
        <v>4239.125829553594</v>
      </c>
      <c r="DM5" s="31">
        <v>4191.7309415971395</v>
      </c>
      <c r="DN5" s="31">
        <v>4085.931187410586</v>
      </c>
      <c r="DO5" s="31">
        <v>4243.998067287043</v>
      </c>
      <c r="DP5" s="31">
        <v>4486.636727879799</v>
      </c>
      <c r="DQ5" s="31">
        <v>4466.2114632983785</v>
      </c>
      <c r="DR5" s="31">
        <v>4793.310501193317</v>
      </c>
      <c r="DS5" s="31">
        <v>4042.1678780487805</v>
      </c>
      <c r="DT5" s="31">
        <v>3309.3818939393936</v>
      </c>
      <c r="DU5" s="31">
        <v>2981.460837563451</v>
      </c>
      <c r="DV5" s="31">
        <v>2860.141230769231</v>
      </c>
      <c r="DW5" s="31">
        <v>2421.7693573264783</v>
      </c>
      <c r="DX5" s="31">
        <v>2573.141637279597</v>
      </c>
      <c r="DY5" s="31">
        <v>3855.1917349218165</v>
      </c>
      <c r="DZ5" s="31">
        <v>4137.8978613569325</v>
      </c>
      <c r="EA5" s="31">
        <v>4393.3653612259795</v>
      </c>
      <c r="EB5" s="31">
        <v>4946.344744455159</v>
      </c>
      <c r="EC5" s="31">
        <v>5185.850698527683</v>
      </c>
      <c r="ED5" s="31">
        <v>5461.107741122672</v>
      </c>
      <c r="EE5" s="31">
        <v>5564.2599110781775</v>
      </c>
      <c r="EF5" s="31">
        <v>5683.9406828371075</v>
      </c>
      <c r="EG5" s="31">
        <v>5915.179590160194</v>
      </c>
      <c r="EH5" s="31">
        <v>6198.787823963092</v>
      </c>
      <c r="EI5" s="31">
        <v>6448.462727008084</v>
      </c>
      <c r="EJ5" s="31">
        <v>6761.782423812899</v>
      </c>
      <c r="EK5" s="31">
        <v>6855.171507425418</v>
      </c>
      <c r="EL5" s="31">
        <v>6978.776908235601</v>
      </c>
      <c r="EM5" s="31">
        <v>7397.582861068177</v>
      </c>
      <c r="EN5" s="31">
        <v>7718.426413172637</v>
      </c>
      <c r="EO5" s="31">
        <v>8067.063153735782</v>
      </c>
      <c r="EP5" s="31">
        <v>8362.67136621652</v>
      </c>
      <c r="EQ5" s="31">
        <v>8819.336669570679</v>
      </c>
      <c r="ER5" s="31">
        <v>9165.415043572548</v>
      </c>
      <c r="ES5" s="31">
        <v>9544.135790185856</v>
      </c>
      <c r="ET5" s="31">
        <v>9907.186574531095</v>
      </c>
      <c r="EU5" s="31">
        <v>10267.018066387114</v>
      </c>
      <c r="EV5" s="31">
        <v>10885.56440645036</v>
      </c>
      <c r="EW5" s="31">
        <v>11410.088986478679</v>
      </c>
      <c r="EX5" s="31">
        <v>11844.961092462618</v>
      </c>
      <c r="EY5" s="31">
        <v>12263.545959844218</v>
      </c>
      <c r="EZ5" s="31">
        <v>12824.42390264939</v>
      </c>
      <c r="FA5" s="31">
        <v>13112.534922704413</v>
      </c>
      <c r="FB5" s="31">
        <v>12957.205078305997</v>
      </c>
      <c r="FC5" s="31">
        <v>13466.38601155856</v>
      </c>
      <c r="FD5" s="31">
        <v>13912.703666924124</v>
      </c>
      <c r="FE5" s="31">
        <v>14240.210981282737</v>
      </c>
      <c r="FF5" s="31">
        <v>14634.38252243052</v>
      </c>
      <c r="FG5" s="31">
        <v>14766.158591907095</v>
      </c>
      <c r="FH5" s="31">
        <v>14839.906857524504</v>
      </c>
      <c r="FI5" s="31">
        <v>15131.64084241521</v>
      </c>
      <c r="FJ5" s="31">
        <v>15245.114341397128</v>
      </c>
      <c r="FK5" s="31">
        <v>15381.929381644917</v>
      </c>
      <c r="FL5" s="31">
        <v>15530.270844397239</v>
      </c>
      <c r="FM5" s="31">
        <v>15833.036579991185</v>
      </c>
      <c r="FN5" s="31">
        <v>16157.8901191458</v>
      </c>
      <c r="FO5" s="31">
        <v>16789.572963059996</v>
      </c>
      <c r="FP5" s="31">
        <v>17299.70080074713</v>
      </c>
      <c r="FQ5" s="31">
        <v>17647.005226241236</v>
      </c>
      <c r="FR5" s="31">
        <v>17755.101805057468</v>
      </c>
      <c r="FS5" s="31">
        <v>17994.26866369375</v>
      </c>
      <c r="FT5" s="31">
        <v>17722.815815211154</v>
      </c>
      <c r="FU5" s="31">
        <v>18007.78334291463</v>
      </c>
      <c r="FV5" s="31">
        <v>18349.274261343075</v>
      </c>
      <c r="FW5" s="31">
        <v>18466.911463408334</v>
      </c>
      <c r="FX5" s="31">
        <v>18824.680075038963</v>
      </c>
      <c r="FY5" s="31">
        <v>19213.165937061207</v>
      </c>
      <c r="FZ5" s="31">
        <v>19753.847165592528</v>
      </c>
      <c r="GA5" s="31">
        <v>20421.69226491323</v>
      </c>
      <c r="GB5" s="31">
        <v>20683.76193496966</v>
      </c>
      <c r="GC5" s="31">
        <v>20777.515405392292</v>
      </c>
      <c r="GD5" s="31">
        <v>20891.074616782746</v>
      </c>
      <c r="GE5" s="31">
        <v>21262.257332011388</v>
      </c>
      <c r="GF5" s="31">
        <v>21536.066251271615</v>
      </c>
      <c r="GG5" s="31">
        <v>21920.18074668605</v>
      </c>
      <c r="GH5" s="31">
        <v>22287.365346565748</v>
      </c>
      <c r="GI5" s="31">
        <v>22223.01664116894</v>
      </c>
    </row>
    <row r="6" ht="14.25" customHeight="1">
      <c r="A6" s="4"/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</row>
    <row r="7" ht="14.25" customHeight="1">
      <c r="A7" s="4" t="s">
        <v>86</v>
      </c>
      <c r="B7" s="4"/>
      <c r="C7" s="4"/>
      <c r="D7" s="18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</row>
    <row r="8" ht="14.25" customHeight="1">
      <c r="A8" s="7" t="s">
        <v>83</v>
      </c>
      <c r="B8" s="7" t="s">
        <v>87</v>
      </c>
      <c r="D8" s="33">
        <f t="shared" ref="D8:GI8" si="1">(D4-C4)/C4</f>
        <v>0.08616217435</v>
      </c>
      <c r="E8" s="33">
        <f t="shared" si="1"/>
        <v>-0.03262901049</v>
      </c>
      <c r="F8" s="33">
        <f t="shared" si="1"/>
        <v>0.03861325033</v>
      </c>
      <c r="G8" s="33">
        <f t="shared" si="1"/>
        <v>0.03407740402</v>
      </c>
      <c r="H8" s="33">
        <f t="shared" si="1"/>
        <v>-0.03745159275</v>
      </c>
      <c r="I8" s="33">
        <f t="shared" si="1"/>
        <v>0.03262731662</v>
      </c>
      <c r="J8" s="33">
        <f t="shared" si="1"/>
        <v>-0.01518236433</v>
      </c>
      <c r="K8" s="33">
        <f t="shared" si="1"/>
        <v>-0.0005360014293</v>
      </c>
      <c r="L8" s="33">
        <f t="shared" si="1"/>
        <v>0.03210072016</v>
      </c>
      <c r="M8" s="33">
        <f t="shared" si="1"/>
        <v>-0.01880489917</v>
      </c>
      <c r="N8" s="33">
        <f t="shared" si="1"/>
        <v>0.01823225318</v>
      </c>
      <c r="O8" s="33">
        <f t="shared" si="1"/>
        <v>0.09193124969</v>
      </c>
      <c r="P8" s="33">
        <f t="shared" si="1"/>
        <v>-0.01528691313</v>
      </c>
      <c r="Q8" s="33">
        <f t="shared" si="1"/>
        <v>0.005689146858</v>
      </c>
      <c r="R8" s="33">
        <f t="shared" si="1"/>
        <v>0.03776653001</v>
      </c>
      <c r="S8" s="33">
        <f t="shared" si="1"/>
        <v>-0.0112332274</v>
      </c>
      <c r="T8" s="33">
        <f t="shared" si="1"/>
        <v>0.01932906279</v>
      </c>
      <c r="U8" s="33">
        <f t="shared" si="1"/>
        <v>0.04882962184</v>
      </c>
      <c r="V8" s="33">
        <f t="shared" si="1"/>
        <v>-0.03198396626</v>
      </c>
      <c r="W8" s="33">
        <f t="shared" si="1"/>
        <v>0.07464360429</v>
      </c>
      <c r="X8" s="33">
        <f t="shared" si="1"/>
        <v>0.02442401862</v>
      </c>
      <c r="Y8" s="33">
        <f t="shared" si="1"/>
        <v>-0.02178469977</v>
      </c>
      <c r="Z8" s="33">
        <f t="shared" si="1"/>
        <v>0.05331143733</v>
      </c>
      <c r="AA8" s="33">
        <f t="shared" si="1"/>
        <v>0.03616313338</v>
      </c>
      <c r="AB8" s="33">
        <f t="shared" si="1"/>
        <v>-0.03053379085</v>
      </c>
      <c r="AC8" s="33">
        <f t="shared" si="1"/>
        <v>0.002498438476</v>
      </c>
      <c r="AD8" s="33">
        <f t="shared" si="1"/>
        <v>0.1102803738</v>
      </c>
      <c r="AE8" s="33">
        <f t="shared" si="1"/>
        <v>-0.06135428358</v>
      </c>
      <c r="AF8" s="33">
        <f t="shared" si="1"/>
        <v>0.03143229827</v>
      </c>
      <c r="AG8" s="33">
        <f t="shared" si="1"/>
        <v>0.01942634325</v>
      </c>
      <c r="AH8" s="33">
        <f t="shared" si="1"/>
        <v>-0.01466255449</v>
      </c>
      <c r="AI8" s="33">
        <f t="shared" si="1"/>
        <v>0.06545079387</v>
      </c>
      <c r="AJ8" s="33">
        <f t="shared" si="1"/>
        <v>-0.04861236481</v>
      </c>
      <c r="AK8" s="33">
        <f t="shared" si="1"/>
        <v>0.04819817489</v>
      </c>
      <c r="AL8" s="33">
        <f t="shared" si="1"/>
        <v>-0.0151572503</v>
      </c>
      <c r="AM8" s="33">
        <f t="shared" si="1"/>
        <v>0.04389893386</v>
      </c>
      <c r="AN8" s="33">
        <f t="shared" si="1"/>
        <v>0.05713233764</v>
      </c>
      <c r="AO8" s="33">
        <f t="shared" si="1"/>
        <v>0.06976286381</v>
      </c>
      <c r="AP8" s="33">
        <f t="shared" si="1"/>
        <v>-0.06510014863</v>
      </c>
      <c r="AQ8" s="33">
        <f t="shared" si="1"/>
        <v>0.06860370045</v>
      </c>
      <c r="AR8" s="33">
        <f t="shared" si="1"/>
        <v>-0.06266914151</v>
      </c>
      <c r="AS8" s="33">
        <f t="shared" si="1"/>
        <v>0.08552770808</v>
      </c>
      <c r="AT8" s="33">
        <f t="shared" si="1"/>
        <v>0.03626134908</v>
      </c>
      <c r="AU8" s="33">
        <f t="shared" si="1"/>
        <v>0.01128789508</v>
      </c>
      <c r="AV8" s="33">
        <f t="shared" si="1"/>
        <v>-0.0278914638</v>
      </c>
      <c r="AW8" s="33">
        <f t="shared" si="1"/>
        <v>0.006752600571</v>
      </c>
      <c r="AX8" s="33">
        <f t="shared" si="1"/>
        <v>-0.05896729169</v>
      </c>
      <c r="AY8" s="33">
        <f t="shared" si="1"/>
        <v>0.09594851965</v>
      </c>
      <c r="AZ8" s="33">
        <f t="shared" si="1"/>
        <v>0.02726506754</v>
      </c>
      <c r="BA8" s="33">
        <f t="shared" si="1"/>
        <v>-0.07598442887</v>
      </c>
      <c r="BB8" s="33">
        <f t="shared" si="1"/>
        <v>-0.006012024048</v>
      </c>
      <c r="BC8" s="33">
        <f t="shared" si="1"/>
        <v>0.09274193548</v>
      </c>
      <c r="BD8" s="33">
        <f t="shared" si="1"/>
        <v>-0.07011070111</v>
      </c>
      <c r="BE8" s="33">
        <f t="shared" si="1"/>
        <v>0.126984127</v>
      </c>
      <c r="BF8" s="33">
        <f t="shared" si="1"/>
        <v>0.03345070423</v>
      </c>
      <c r="BG8" s="33">
        <f t="shared" si="1"/>
        <v>-0.08177172061</v>
      </c>
      <c r="BH8" s="33">
        <f t="shared" si="1"/>
        <v>0.05380333952</v>
      </c>
      <c r="BI8" s="33">
        <f t="shared" si="1"/>
        <v>-0.01232394366</v>
      </c>
      <c r="BJ8" s="33">
        <f t="shared" si="1"/>
        <v>-0.0623885918</v>
      </c>
      <c r="BK8" s="33">
        <f t="shared" si="1"/>
        <v>0.08935361217</v>
      </c>
      <c r="BL8" s="33">
        <f t="shared" si="1"/>
        <v>0.03839441536</v>
      </c>
      <c r="BM8" s="33">
        <f t="shared" si="1"/>
        <v>0.04705882353</v>
      </c>
      <c r="BN8" s="33">
        <f t="shared" si="1"/>
        <v>0.003210272873</v>
      </c>
      <c r="BO8" s="33">
        <f t="shared" si="1"/>
        <v>-0.0112</v>
      </c>
      <c r="BP8" s="33">
        <f t="shared" si="1"/>
        <v>-0.01779935275</v>
      </c>
      <c r="BQ8" s="33">
        <f t="shared" si="1"/>
        <v>0.01647446458</v>
      </c>
      <c r="BR8" s="33">
        <f t="shared" si="1"/>
        <v>0.006482982172</v>
      </c>
      <c r="BS8" s="33">
        <f t="shared" si="1"/>
        <v>0.009661835749</v>
      </c>
      <c r="BT8" s="33">
        <f t="shared" si="1"/>
        <v>0.02551834131</v>
      </c>
      <c r="BU8" s="33">
        <f t="shared" si="1"/>
        <v>0.0233281493</v>
      </c>
      <c r="BV8" s="33">
        <f t="shared" si="1"/>
        <v>0.02279635258</v>
      </c>
      <c r="BW8" s="33">
        <f t="shared" si="1"/>
        <v>0.02526002972</v>
      </c>
      <c r="BX8" s="33">
        <f t="shared" si="1"/>
        <v>0.01739130435</v>
      </c>
      <c r="BY8" s="33">
        <f t="shared" si="1"/>
        <v>0.03703703704</v>
      </c>
      <c r="BZ8" s="33">
        <f t="shared" si="1"/>
        <v>-0.0206043956</v>
      </c>
      <c r="CA8" s="33">
        <f t="shared" si="1"/>
        <v>0.0476858345</v>
      </c>
      <c r="CB8" s="33">
        <f t="shared" si="1"/>
        <v>-0.01338688086</v>
      </c>
      <c r="CC8" s="33">
        <f t="shared" si="1"/>
        <v>0.04884667571</v>
      </c>
      <c r="CD8" s="33">
        <f t="shared" si="1"/>
        <v>0.05692108668</v>
      </c>
      <c r="CE8" s="33">
        <f t="shared" si="1"/>
        <v>-0.01101591187</v>
      </c>
      <c r="CF8" s="33">
        <f t="shared" si="1"/>
        <v>-0.01608910891</v>
      </c>
      <c r="CG8" s="33">
        <f t="shared" si="1"/>
        <v>-0.01635220126</v>
      </c>
      <c r="CH8" s="33">
        <f t="shared" si="1"/>
        <v>0.02173913043</v>
      </c>
      <c r="CI8" s="33">
        <f t="shared" si="1"/>
        <v>0.007509386733</v>
      </c>
      <c r="CJ8" s="33">
        <f t="shared" si="1"/>
        <v>0.01739130435</v>
      </c>
      <c r="CK8" s="33">
        <f t="shared" si="1"/>
        <v>0.01831501832</v>
      </c>
      <c r="CL8" s="33">
        <f t="shared" si="1"/>
        <v>0.04316546763</v>
      </c>
      <c r="CM8" s="33">
        <f t="shared" si="1"/>
        <v>-0.005747126437</v>
      </c>
      <c r="CN8" s="33">
        <f t="shared" si="1"/>
        <v>0.04161849711</v>
      </c>
      <c r="CO8" s="33">
        <f t="shared" si="1"/>
        <v>-0.06104328524</v>
      </c>
      <c r="CP8" s="33">
        <f t="shared" si="1"/>
        <v>0.09810874704</v>
      </c>
      <c r="CQ8" s="33">
        <f t="shared" si="1"/>
        <v>0.08288482239</v>
      </c>
      <c r="CR8" s="33">
        <f t="shared" si="1"/>
        <v>-0.005964214712</v>
      </c>
      <c r="CS8" s="33">
        <f t="shared" si="1"/>
        <v>-0.071</v>
      </c>
      <c r="CT8" s="33">
        <f t="shared" si="1"/>
        <v>-0.02045209903</v>
      </c>
      <c r="CU8" s="33">
        <f t="shared" si="1"/>
        <v>0.05054945055</v>
      </c>
      <c r="CV8" s="33">
        <f t="shared" si="1"/>
        <v>-0.1527196653</v>
      </c>
      <c r="CW8" s="33">
        <f t="shared" si="1"/>
        <v>-0.2111111111</v>
      </c>
      <c r="CX8" s="33">
        <f t="shared" si="1"/>
        <v>0.1784037559</v>
      </c>
      <c r="CY8" s="33">
        <f t="shared" si="1"/>
        <v>0.1567065073</v>
      </c>
      <c r="CZ8" s="33">
        <f t="shared" si="1"/>
        <v>-0.04133180253</v>
      </c>
      <c r="DA8" s="33">
        <f t="shared" si="1"/>
        <v>0.1796407186</v>
      </c>
      <c r="DB8" s="33">
        <f t="shared" si="1"/>
        <v>0.05177664975</v>
      </c>
      <c r="DC8" s="33">
        <f t="shared" si="1"/>
        <v>0.1254826255</v>
      </c>
      <c r="DD8" s="33">
        <f t="shared" si="1"/>
        <v>0.004288164666</v>
      </c>
      <c r="DE8" s="33">
        <f t="shared" si="1"/>
        <v>0.02647309991</v>
      </c>
      <c r="DF8" s="33">
        <f t="shared" si="1"/>
        <v>-0.02079866889</v>
      </c>
      <c r="DG8" s="33">
        <f t="shared" si="1"/>
        <v>0.06966864911</v>
      </c>
      <c r="DH8" s="33">
        <f t="shared" si="1"/>
        <v>0.06751389992</v>
      </c>
      <c r="DI8" s="33">
        <f t="shared" si="1"/>
        <v>-0.02901785714</v>
      </c>
      <c r="DJ8" s="33">
        <f t="shared" si="1"/>
        <v>-0.05977011494</v>
      </c>
      <c r="DK8" s="33">
        <f t="shared" si="1"/>
        <v>-0.065199674</v>
      </c>
      <c r="DL8" s="33">
        <f t="shared" si="1"/>
        <v>0.07149084568</v>
      </c>
      <c r="DM8" s="33">
        <f t="shared" si="1"/>
        <v>-0.009764035801</v>
      </c>
      <c r="DN8" s="33">
        <f t="shared" si="1"/>
        <v>-0.02547247329</v>
      </c>
      <c r="DO8" s="33">
        <f t="shared" si="1"/>
        <v>0.03794266442</v>
      </c>
      <c r="DP8" s="33">
        <f t="shared" si="1"/>
        <v>0.05767668562</v>
      </c>
      <c r="DQ8" s="33">
        <f t="shared" si="1"/>
        <v>-0.003840245776</v>
      </c>
      <c r="DR8" s="33">
        <f t="shared" si="1"/>
        <v>0.07170393215</v>
      </c>
      <c r="DS8" s="33">
        <f t="shared" si="1"/>
        <v>-0.1748201439</v>
      </c>
      <c r="DT8" s="33">
        <f t="shared" si="1"/>
        <v>-0.2092414996</v>
      </c>
      <c r="DU8" s="33">
        <f t="shared" si="1"/>
        <v>-0.1036383682</v>
      </c>
      <c r="DV8" s="33">
        <f t="shared" si="1"/>
        <v>-0.05043050431</v>
      </c>
      <c r="DW8" s="33">
        <f t="shared" si="1"/>
        <v>-0.1554404145</v>
      </c>
      <c r="DX8" s="33">
        <f t="shared" si="1"/>
        <v>0.08435582822</v>
      </c>
      <c r="DY8" s="33">
        <f t="shared" si="1"/>
        <v>0.5205091938</v>
      </c>
      <c r="DZ8" s="33">
        <f t="shared" si="1"/>
        <v>0.08372093023</v>
      </c>
      <c r="EA8" s="33">
        <f t="shared" si="1"/>
        <v>0.07296137339</v>
      </c>
      <c r="EB8" s="33">
        <f t="shared" si="1"/>
        <v>0.136</v>
      </c>
      <c r="EC8" s="33">
        <f t="shared" si="1"/>
        <v>0.07465659211</v>
      </c>
      <c r="ED8" s="33">
        <f t="shared" si="1"/>
        <v>0.06159860675</v>
      </c>
      <c r="EE8" s="33">
        <f t="shared" si="1"/>
        <v>0.02654288815</v>
      </c>
      <c r="EF8" s="33">
        <f t="shared" si="1"/>
        <v>0.02886548169</v>
      </c>
      <c r="EG8" s="33">
        <f t="shared" si="1"/>
        <v>0.04850681369</v>
      </c>
      <c r="EH8" s="33">
        <f t="shared" si="1"/>
        <v>0.05741565882</v>
      </c>
      <c r="EI8" s="33">
        <f t="shared" si="1"/>
        <v>0.05060598764</v>
      </c>
      <c r="EJ8" s="33">
        <f t="shared" si="1"/>
        <v>0.06021134219</v>
      </c>
      <c r="EK8" s="33">
        <f t="shared" si="1"/>
        <v>0.02508286714</v>
      </c>
      <c r="EL8" s="33">
        <f t="shared" si="1"/>
        <v>0.02862291751</v>
      </c>
      <c r="EM8" s="33">
        <f t="shared" si="1"/>
        <v>0.07046694251</v>
      </c>
      <c r="EN8" s="33">
        <f t="shared" si="1"/>
        <v>0.05555571677</v>
      </c>
      <c r="EO8" s="33">
        <f t="shared" si="1"/>
        <v>0.06648174316</v>
      </c>
      <c r="EP8" s="33">
        <f t="shared" si="1"/>
        <v>0.05194915669</v>
      </c>
      <c r="EQ8" s="33">
        <f t="shared" si="1"/>
        <v>0.06666666667</v>
      </c>
      <c r="ER8" s="33">
        <f t="shared" si="1"/>
        <v>0.0486106006</v>
      </c>
      <c r="ES8" s="33">
        <f t="shared" si="1"/>
        <v>0.05077159682</v>
      </c>
      <c r="ET8" s="33">
        <f t="shared" si="1"/>
        <v>0.04621886409</v>
      </c>
      <c r="EU8" s="33">
        <f t="shared" si="1"/>
        <v>0.04417705097</v>
      </c>
      <c r="EV8" s="33">
        <f t="shared" si="1"/>
        <v>0.06930398288</v>
      </c>
      <c r="EW8" s="33">
        <f t="shared" si="1"/>
        <v>0.05730884558</v>
      </c>
      <c r="EX8" s="33">
        <f t="shared" si="1"/>
        <v>0.04839050016</v>
      </c>
      <c r="EY8" s="33">
        <f t="shared" si="1"/>
        <v>0.04446144061</v>
      </c>
      <c r="EZ8" s="33">
        <f t="shared" si="1"/>
        <v>0.05441458496</v>
      </c>
      <c r="FA8" s="33">
        <f t="shared" si="1"/>
        <v>0.02930997931</v>
      </c>
      <c r="FB8" s="33">
        <f t="shared" si="1"/>
        <v>-0.006968631217</v>
      </c>
      <c r="FC8" s="33">
        <f t="shared" si="1"/>
        <v>0.04322663516</v>
      </c>
      <c r="FD8" s="33">
        <f t="shared" si="1"/>
        <v>0.03732075917</v>
      </c>
      <c r="FE8" s="33">
        <f t="shared" si="1"/>
        <v>0.02775644542</v>
      </c>
      <c r="FF8" s="33">
        <f t="shared" si="1"/>
        <v>0.03208435793</v>
      </c>
      <c r="FG8" s="33">
        <f t="shared" si="1"/>
        <v>0.01404626345</v>
      </c>
      <c r="FH8" s="33">
        <f t="shared" si="1"/>
        <v>0.01026465937</v>
      </c>
      <c r="FI8" s="33">
        <f t="shared" si="1"/>
        <v>0.02514365369</v>
      </c>
      <c r="FJ8" s="33">
        <f t="shared" si="1"/>
        <v>0.01169571908</v>
      </c>
      <c r="FK8" s="33">
        <f t="shared" si="1"/>
        <v>0.01469311929</v>
      </c>
      <c r="FL8" s="33">
        <f t="shared" si="1"/>
        <v>0.01402380105</v>
      </c>
      <c r="FM8" s="33">
        <f t="shared" si="1"/>
        <v>0.02373632887</v>
      </c>
      <c r="FN8" s="33">
        <f t="shared" si="1"/>
        <v>0.02526697167</v>
      </c>
      <c r="FO8" s="33">
        <f t="shared" si="1"/>
        <v>0.04394443226</v>
      </c>
      <c r="FP8" s="33">
        <f t="shared" si="1"/>
        <v>0.04056956975</v>
      </c>
      <c r="FQ8" s="33">
        <f t="shared" si="1"/>
        <v>0.02619750751</v>
      </c>
      <c r="FR8" s="33">
        <f t="shared" si="1"/>
        <v>0.01211021531</v>
      </c>
      <c r="FS8" s="33">
        <f t="shared" si="1"/>
        <v>0.01944576371</v>
      </c>
      <c r="FT8" s="33">
        <f t="shared" si="1"/>
        <v>-0.009898145808</v>
      </c>
      <c r="FU8" s="33">
        <f t="shared" si="1"/>
        <v>0.02081874143</v>
      </c>
      <c r="FV8" s="33">
        <f t="shared" si="1"/>
        <v>0.02354024005</v>
      </c>
      <c r="FW8" s="33">
        <f t="shared" si="1"/>
        <v>0.01094483867</v>
      </c>
      <c r="FX8" s="33">
        <f t="shared" si="1"/>
        <v>0.02401311333</v>
      </c>
      <c r="FY8" s="33">
        <f t="shared" si="1"/>
        <v>0.02539688345</v>
      </c>
      <c r="FZ8" s="33">
        <f t="shared" si="1"/>
        <v>0.0330496299</v>
      </c>
      <c r="GA8" s="33">
        <f t="shared" si="1"/>
        <v>0.03912832873</v>
      </c>
      <c r="GB8" s="33">
        <f t="shared" si="1"/>
        <v>0.01849868765</v>
      </c>
      <c r="GC8" s="33">
        <f t="shared" si="1"/>
        <v>0.01025151441</v>
      </c>
      <c r="GD8" s="33">
        <f t="shared" si="1"/>
        <v>0.01102710226</v>
      </c>
      <c r="GE8" s="33">
        <f t="shared" si="1"/>
        <v>0.02371000116</v>
      </c>
      <c r="GF8" s="33">
        <f t="shared" si="1"/>
        <v>0.0190002512</v>
      </c>
      <c r="GG8" s="33">
        <f t="shared" si="1"/>
        <v>0.02399996457</v>
      </c>
      <c r="GH8" s="33">
        <f t="shared" si="1"/>
        <v>0.02299995531</v>
      </c>
      <c r="GI8" s="33">
        <f t="shared" si="1"/>
        <v>0.003000062002</v>
      </c>
    </row>
    <row r="9" ht="14.25" customHeight="1">
      <c r="A9" s="7" t="s">
        <v>85</v>
      </c>
      <c r="B9" s="7" t="s">
        <v>87</v>
      </c>
      <c r="FR9" s="5"/>
    </row>
    <row r="10" ht="14.25" customHeight="1">
      <c r="D10" s="34"/>
      <c r="FR10" s="5"/>
    </row>
    <row r="11" ht="14.25" customHeight="1"/>
    <row r="12" ht="14.25" customHeight="1"/>
    <row r="13" ht="14.25" customHeight="1"/>
    <row r="14" ht="14.25" customHeight="1"/>
    <row r="15" ht="14.25" customHeight="1">
      <c r="G15" s="4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0"/>
    <col customWidth="1" min="2" max="81" width="9.38"/>
  </cols>
  <sheetData>
    <row r="1" ht="14.25" customHeight="1">
      <c r="A1" s="35" t="s">
        <v>88</v>
      </c>
      <c r="B1" s="4" t="s">
        <v>89</v>
      </c>
    </row>
    <row r="2" ht="12.75" customHeight="1">
      <c r="A2" s="36" t="s">
        <v>90</v>
      </c>
      <c r="B2" s="36">
        <v>1950.0</v>
      </c>
      <c r="C2" s="36">
        <v>1951.0</v>
      </c>
      <c r="D2" s="36">
        <v>1952.0</v>
      </c>
      <c r="E2" s="36">
        <v>1953.0</v>
      </c>
      <c r="F2" s="36">
        <v>1954.0</v>
      </c>
      <c r="G2" s="36">
        <v>1955.0</v>
      </c>
      <c r="H2" s="36">
        <v>1956.0</v>
      </c>
      <c r="I2" s="36">
        <v>1957.0</v>
      </c>
      <c r="J2" s="36">
        <v>1958.0</v>
      </c>
      <c r="K2" s="36">
        <v>1959.0</v>
      </c>
      <c r="L2" s="36">
        <v>1960.0</v>
      </c>
      <c r="M2" s="36">
        <v>1961.0</v>
      </c>
      <c r="N2" s="36">
        <v>1962.0</v>
      </c>
      <c r="O2" s="36">
        <v>1963.0</v>
      </c>
      <c r="P2" s="36">
        <v>1964.0</v>
      </c>
      <c r="Q2" s="36">
        <v>1965.0</v>
      </c>
      <c r="R2" s="36">
        <v>1966.0</v>
      </c>
      <c r="S2" s="36">
        <v>1967.0</v>
      </c>
      <c r="T2" s="36">
        <v>1968.0</v>
      </c>
      <c r="U2" s="36">
        <v>1969.0</v>
      </c>
      <c r="V2" s="36">
        <v>1970.0</v>
      </c>
      <c r="W2" s="36">
        <v>1971.0</v>
      </c>
      <c r="X2" s="36">
        <v>1972.0</v>
      </c>
      <c r="Y2" s="36">
        <v>1973.0</v>
      </c>
      <c r="Z2" s="36">
        <v>1974.0</v>
      </c>
      <c r="AA2" s="36">
        <v>1975.0</v>
      </c>
      <c r="AB2" s="36">
        <v>1976.0</v>
      </c>
      <c r="AC2" s="36">
        <v>1977.0</v>
      </c>
      <c r="AD2" s="36">
        <v>1978.0</v>
      </c>
      <c r="AE2" s="36">
        <v>1979.0</v>
      </c>
      <c r="AF2" s="36">
        <v>1980.0</v>
      </c>
      <c r="AG2" s="36">
        <v>1981.0</v>
      </c>
      <c r="AH2" s="36">
        <v>1982.0</v>
      </c>
      <c r="AI2" s="36">
        <v>1983.0</v>
      </c>
      <c r="AJ2" s="36">
        <v>1984.0</v>
      </c>
      <c r="AK2" s="36">
        <v>1985.0</v>
      </c>
      <c r="AL2" s="36">
        <v>1986.0</v>
      </c>
      <c r="AM2" s="36">
        <v>1987.0</v>
      </c>
      <c r="AN2" s="36">
        <v>1988.0</v>
      </c>
      <c r="AO2" s="36">
        <v>1989.0</v>
      </c>
      <c r="AP2" s="36">
        <v>1990.0</v>
      </c>
      <c r="AQ2" s="36">
        <v>1991.0</v>
      </c>
      <c r="AR2" s="36">
        <v>1992.0</v>
      </c>
      <c r="AS2" s="36">
        <v>1993.0</v>
      </c>
      <c r="AT2" s="36">
        <v>1994.0</v>
      </c>
      <c r="AU2" s="36">
        <v>1995.0</v>
      </c>
      <c r="AV2" s="36">
        <v>1996.0</v>
      </c>
      <c r="AW2" s="36">
        <v>1997.0</v>
      </c>
      <c r="AX2" s="36">
        <v>1998.0</v>
      </c>
      <c r="AY2" s="36">
        <v>1999.0</v>
      </c>
      <c r="AZ2" s="36">
        <v>2000.0</v>
      </c>
      <c r="BA2" s="36">
        <v>2001.0</v>
      </c>
      <c r="BB2" s="36">
        <v>2002.0</v>
      </c>
      <c r="BC2" s="36">
        <v>2003.0</v>
      </c>
      <c r="BD2" s="36">
        <v>2004.0</v>
      </c>
      <c r="BE2" s="36">
        <v>2005.0</v>
      </c>
      <c r="BF2" s="36">
        <v>2006.0</v>
      </c>
      <c r="BG2" s="36">
        <v>2007.0</v>
      </c>
      <c r="BH2" s="36">
        <v>2008.0</v>
      </c>
      <c r="BI2" s="36">
        <v>2009.0</v>
      </c>
      <c r="BJ2" s="36">
        <v>2010.0</v>
      </c>
      <c r="BK2" s="36">
        <v>2011.0</v>
      </c>
      <c r="BL2" s="36">
        <v>2012.0</v>
      </c>
      <c r="BM2" s="36">
        <v>2013.0</v>
      </c>
      <c r="BN2" s="36">
        <v>2014.0</v>
      </c>
      <c r="BO2" s="36">
        <v>2015.0</v>
      </c>
      <c r="BP2" s="36">
        <v>2016.0</v>
      </c>
      <c r="BQ2" s="36">
        <v>2017.0</v>
      </c>
      <c r="BR2" s="36" t="s">
        <v>91</v>
      </c>
      <c r="BS2" s="36" t="s">
        <v>92</v>
      </c>
      <c r="BT2" s="36">
        <v>2020.0</v>
      </c>
      <c r="BY2" s="37"/>
      <c r="BZ2" s="37"/>
      <c r="CA2" s="37"/>
      <c r="CB2" s="37"/>
      <c r="CC2" s="37"/>
    </row>
    <row r="3" ht="12.75" customHeight="1">
      <c r="A3" s="38" t="s">
        <v>93</v>
      </c>
      <c r="B3" s="39">
        <v>293.367206272046</v>
      </c>
      <c r="C3" s="39">
        <v>310.35762838389</v>
      </c>
      <c r="D3" s="39">
        <v>320.022270652918</v>
      </c>
      <c r="E3" s="39">
        <v>331.082976253487</v>
      </c>
      <c r="F3" s="39">
        <v>349.5518448528</v>
      </c>
      <c r="G3" s="39">
        <v>368.119589705677</v>
      </c>
      <c r="H3" s="39">
        <v>386.480856306076</v>
      </c>
      <c r="I3" s="39">
        <v>407.801899821864</v>
      </c>
      <c r="J3" s="39">
        <v>418.795072123234</v>
      </c>
      <c r="K3" s="39">
        <v>429.982867566363</v>
      </c>
      <c r="L3" s="39">
        <v>464.346894060235</v>
      </c>
      <c r="M3" s="39">
        <v>487.471986341221</v>
      </c>
      <c r="N3" s="39">
        <v>520.832302290055</v>
      </c>
      <c r="O3" s="39">
        <v>553.298676774299</v>
      </c>
      <c r="P3" s="39">
        <v>590.105215513149</v>
      </c>
      <c r="Q3" s="39">
        <v>618.792747522002</v>
      </c>
      <c r="R3" s="39">
        <v>651.290712860036</v>
      </c>
      <c r="S3" s="39">
        <v>683.342235219258</v>
      </c>
      <c r="T3" s="39">
        <v>714.033314661782</v>
      </c>
      <c r="U3" s="39">
        <v>764.797156797148</v>
      </c>
      <c r="V3" s="39">
        <v>811.516149523521</v>
      </c>
      <c r="W3" s="39">
        <v>854.662457986432</v>
      </c>
      <c r="X3" s="39">
        <v>893.21945763042</v>
      </c>
      <c r="Y3" s="39">
        <v>949.890345505416</v>
      </c>
      <c r="Z3" s="39">
        <v>990.743616186455</v>
      </c>
      <c r="AA3" s="39">
        <v>981.233791898995</v>
      </c>
      <c r="AB3" s="39">
        <v>1023.9837493048</v>
      </c>
      <c r="AC3" s="39">
        <v>1059.45754009074</v>
      </c>
      <c r="AD3" s="39">
        <v>1101.60858242084</v>
      </c>
      <c r="AE3" s="39">
        <v>1140.71569124264</v>
      </c>
      <c r="AF3" s="39">
        <v>1158.72532457876</v>
      </c>
      <c r="AG3" s="39">
        <v>1171.11224611374</v>
      </c>
      <c r="AH3" s="39">
        <v>1200.4528398757</v>
      </c>
      <c r="AI3" s="39">
        <v>1215.3486939388</v>
      </c>
      <c r="AJ3" s="39">
        <v>1233.74552276762</v>
      </c>
      <c r="AK3" s="39">
        <v>1253.76701221914</v>
      </c>
      <c r="AL3" s="39">
        <v>1283.0705011998</v>
      </c>
      <c r="AM3" s="39">
        <v>1315.94159592104</v>
      </c>
      <c r="AN3" s="39">
        <v>1378.35914111381</v>
      </c>
      <c r="AO3" s="39">
        <v>1438.23258059077</v>
      </c>
      <c r="AP3" s="39">
        <v>1480.28580718289</v>
      </c>
      <c r="AQ3" s="39">
        <v>1495.80187024738</v>
      </c>
      <c r="AR3" s="39">
        <v>1519.72492510272</v>
      </c>
      <c r="AS3" s="39">
        <v>1510.17103991238</v>
      </c>
      <c r="AT3" s="39">
        <v>1545.78648700229</v>
      </c>
      <c r="AU3" s="39">
        <v>1578.35081975345</v>
      </c>
      <c r="AV3" s="39">
        <v>1600.65285394404</v>
      </c>
      <c r="AW3" s="39">
        <v>1638.04937663046</v>
      </c>
      <c r="AX3" s="39">
        <v>1696.83289713036</v>
      </c>
      <c r="AY3" s="39">
        <v>1754.88752949819</v>
      </c>
      <c r="AZ3" s="39">
        <v>1823.74427007772</v>
      </c>
      <c r="BA3" s="39">
        <v>1859.92210610312</v>
      </c>
      <c r="BB3" s="39">
        <v>1881.04229801808</v>
      </c>
      <c r="BC3" s="39">
        <v>1896.5255897638</v>
      </c>
      <c r="BD3" s="39">
        <v>1950.19340612732</v>
      </c>
      <c r="BE3" s="39">
        <v>1982.62867435978</v>
      </c>
      <c r="BF3" s="39">
        <v>2031.19009862193</v>
      </c>
      <c r="BG3" s="39">
        <v>2080.44117306474</v>
      </c>
      <c r="BH3" s="39">
        <v>2085.74498254592</v>
      </c>
      <c r="BI3" s="39">
        <v>2025.81474203398</v>
      </c>
      <c r="BJ3" s="39">
        <v>2065.30716788996</v>
      </c>
      <c r="BK3" s="39">
        <v>2110.5927392301</v>
      </c>
      <c r="BL3" s="39">
        <v>2117.20236579581</v>
      </c>
      <c r="BM3" s="39">
        <v>2129.40430205836</v>
      </c>
      <c r="BN3" s="39">
        <v>2149.765</v>
      </c>
      <c r="BO3" s="39">
        <v>2173.69</v>
      </c>
      <c r="BP3" s="39">
        <v>2197.50196064741</v>
      </c>
      <c r="BQ3" s="40">
        <v>2247.85568591189</v>
      </c>
      <c r="BR3" s="40">
        <v>2289.78040948893</v>
      </c>
      <c r="BS3" s="40">
        <v>2331.98035555401</v>
      </c>
      <c r="BT3" s="40">
        <v>2148.79708920443</v>
      </c>
      <c r="BU3" s="40"/>
      <c r="BV3" s="40"/>
      <c r="BW3" s="40"/>
      <c r="BX3" s="40"/>
      <c r="BY3" s="40"/>
      <c r="BZ3" s="40"/>
      <c r="CA3" s="40"/>
      <c r="CB3" s="40"/>
      <c r="CC3" s="40"/>
    </row>
    <row r="4" ht="14.25" customHeight="1">
      <c r="A4" s="38" t="s">
        <v>94</v>
      </c>
      <c r="B4" s="41">
        <v>8.56561745816649</v>
      </c>
      <c r="C4" s="41">
        <v>5.79152057510072</v>
      </c>
      <c r="D4" s="41">
        <v>3.1140340643002</v>
      </c>
      <c r="E4" s="41">
        <v>3.45622996112202</v>
      </c>
      <c r="F4" s="41">
        <v>5.5783202169757</v>
      </c>
      <c r="G4" s="41">
        <v>5.31187150812927</v>
      </c>
      <c r="H4" s="41">
        <v>4.98785370674779</v>
      </c>
      <c r="I4" s="41">
        <v>5.51671400223309</v>
      </c>
      <c r="J4" s="41">
        <v>2.69571385179235</v>
      </c>
      <c r="K4" s="41">
        <v>2.67142480602955</v>
      </c>
      <c r="L4" s="41">
        <v>7.99195249065767</v>
      </c>
      <c r="M4" s="41">
        <v>4.98013286549221</v>
      </c>
      <c r="N4" s="41">
        <v>6.84353498941024</v>
      </c>
      <c r="O4" s="41">
        <v>6.23355624094208</v>
      </c>
      <c r="P4" s="41">
        <v>6.65220075230069</v>
      </c>
      <c r="Q4" s="41">
        <v>4.86142661591406</v>
      </c>
      <c r="R4" s="41">
        <v>5.25183358534413</v>
      </c>
      <c r="S4" s="41">
        <v>4.92123129139563</v>
      </c>
      <c r="T4" s="41">
        <v>4.49131897030728</v>
      </c>
      <c r="U4" s="41">
        <v>7.10945009049206</v>
      </c>
      <c r="V4" s="41">
        <v>6.10867761617021</v>
      </c>
      <c r="W4" s="41">
        <v>5.31675290605666</v>
      </c>
      <c r="X4" s="41">
        <v>4.5113716279088</v>
      </c>
      <c r="Y4" s="41">
        <v>6.34456486486927</v>
      </c>
      <c r="Z4" s="41">
        <v>4.30084071012453</v>
      </c>
      <c r="AA4" s="41">
        <v>-0.95986732915479</v>
      </c>
      <c r="AB4" s="41">
        <v>4.35675552133888</v>
      </c>
      <c r="AC4" s="41">
        <v>3.46429235913467</v>
      </c>
      <c r="AD4" s="41">
        <v>3.97854946848446</v>
      </c>
      <c r="AE4" s="41">
        <v>3.55000037634592</v>
      </c>
      <c r="AF4" s="41">
        <v>1.57880122754372</v>
      </c>
      <c r="AG4" s="41">
        <v>1.06901275670968</v>
      </c>
      <c r="AH4" s="41">
        <v>2.50536136560163</v>
      </c>
      <c r="AI4" s="41">
        <v>1.240852915525</v>
      </c>
      <c r="AJ4" s="41">
        <v>1.51370787006012</v>
      </c>
      <c r="AK4" s="41">
        <v>1.62282165017328</v>
      </c>
      <c r="AL4" s="41">
        <v>2.33723560239382</v>
      </c>
      <c r="AM4" s="41">
        <v>2.56190869406679</v>
      </c>
      <c r="AN4" s="41">
        <v>4.74318506127023</v>
      </c>
      <c r="AO4" s="41">
        <v>4.34381995889574</v>
      </c>
      <c r="AP4" s="41">
        <v>2.92395174185515</v>
      </c>
      <c r="AQ4" s="41">
        <v>1.0481802223058</v>
      </c>
      <c r="AR4" s="41">
        <v>1.59934649977293</v>
      </c>
      <c r="AS4" s="41">
        <v>-0.628658846908877</v>
      </c>
      <c r="AT4" s="41">
        <v>2.358371743904</v>
      </c>
      <c r="AU4" s="41">
        <v>2.1066514052863</v>
      </c>
      <c r="AV4" s="41">
        <v>1.41299601530085</v>
      </c>
      <c r="AW4" s="41">
        <v>2.33632936675068</v>
      </c>
      <c r="AX4" s="41">
        <v>3.5886293379514</v>
      </c>
      <c r="AY4" s="41">
        <v>3.42135235980005</v>
      </c>
      <c r="AZ4" s="41">
        <v>3.92371245576192</v>
      </c>
      <c r="BA4" s="41">
        <v>1.98371211462978</v>
      </c>
      <c r="BB4" s="41">
        <v>1.13554174369231</v>
      </c>
      <c r="BC4" s="41">
        <v>0.82312299739516</v>
      </c>
      <c r="BD4" s="41">
        <v>2.82979658451117</v>
      </c>
      <c r="BE4" s="41">
        <v>1.66318213006727</v>
      </c>
      <c r="BF4" s="41">
        <v>2.44934540139417</v>
      </c>
      <c r="BG4" s="41">
        <v>2.42473978561777</v>
      </c>
      <c r="BH4" s="41">
        <v>0.254936767731934</v>
      </c>
      <c r="BI4" s="41">
        <v>-2.87332540715447</v>
      </c>
      <c r="BJ4" s="41">
        <v>1.94945890344995</v>
      </c>
      <c r="BK4" s="41">
        <v>2.19267971584138</v>
      </c>
      <c r="BL4" s="41">
        <v>0.313164470001936</v>
      </c>
      <c r="BM4" s="41">
        <v>0.576323570182638</v>
      </c>
      <c r="BN4" s="41">
        <v>0.956168723899069</v>
      </c>
      <c r="BO4" s="41">
        <v>1.11291234158153</v>
      </c>
      <c r="BP4" s="41">
        <v>1.09546258424187</v>
      </c>
      <c r="BQ4" s="41">
        <v>2.2914075239165</v>
      </c>
      <c r="BR4" s="41">
        <v>1.86509853990131</v>
      </c>
      <c r="BS4" s="41">
        <v>1.84296912883902</v>
      </c>
      <c r="BT4" s="41">
        <v>-7.8552662724321</v>
      </c>
    </row>
    <row r="5" ht="14.25" customHeight="1">
      <c r="A5" s="38" t="s">
        <v>95</v>
      </c>
      <c r="B5" s="6">
        <v>8.56561745816649</v>
      </c>
      <c r="C5" s="6">
        <v>5.79152057510074</v>
      </c>
      <c r="D5" s="6">
        <v>3.11403406430019</v>
      </c>
      <c r="E5" s="6">
        <v>3.45622996112203</v>
      </c>
      <c r="F5" s="6">
        <v>5.57832021697569</v>
      </c>
      <c r="G5" s="6">
        <v>5.31187150812929</v>
      </c>
      <c r="H5" s="6">
        <v>4.98785370674778</v>
      </c>
      <c r="I5" s="6">
        <v>5.51671400223311</v>
      </c>
      <c r="J5" s="6">
        <v>2.69571385179235</v>
      </c>
      <c r="K5" s="6">
        <v>2.67142480602955</v>
      </c>
      <c r="L5" s="6">
        <v>7.99195249065767</v>
      </c>
      <c r="M5" s="6">
        <v>4.98013286549221</v>
      </c>
      <c r="N5" s="6">
        <v>6.84353498941024</v>
      </c>
      <c r="O5" s="6">
        <v>6.23355624094208</v>
      </c>
      <c r="P5" s="6">
        <v>6.65220075230069</v>
      </c>
      <c r="Q5" s="6">
        <v>4.86142661591403</v>
      </c>
      <c r="R5" s="6">
        <v>5.25183358534413</v>
      </c>
      <c r="S5" s="6">
        <v>4.92123129139564</v>
      </c>
      <c r="T5" s="6">
        <v>4.49131897030728</v>
      </c>
      <c r="U5" s="6">
        <v>7.10945009049206</v>
      </c>
      <c r="V5" s="6">
        <v>6.10867761617023</v>
      </c>
      <c r="W5" s="6">
        <v>5.31675290605666</v>
      </c>
      <c r="X5" s="6">
        <v>4.51137162790879</v>
      </c>
      <c r="Y5" s="6">
        <v>6.34456486486927</v>
      </c>
      <c r="Z5" s="6">
        <v>4.30084071012452</v>
      </c>
      <c r="AA5" s="6">
        <v>-0.959867329154789</v>
      </c>
      <c r="AB5" s="6">
        <v>4.3567555213389</v>
      </c>
      <c r="AC5" s="6">
        <v>3.46429235913467</v>
      </c>
      <c r="AD5" s="6">
        <v>3.97854946848446</v>
      </c>
      <c r="AE5" s="6">
        <v>3.55000037634591</v>
      </c>
      <c r="AF5" s="6">
        <v>1.57880122754374</v>
      </c>
      <c r="AG5" s="6">
        <v>1.06901275670967</v>
      </c>
      <c r="AH5" s="6">
        <v>2.50536136560163</v>
      </c>
      <c r="AI5" s="6">
        <v>1.24085291552498</v>
      </c>
      <c r="AJ5" s="6">
        <v>1.5137078700601</v>
      </c>
      <c r="AK5" s="6">
        <v>1.6228216501733</v>
      </c>
      <c r="AL5" s="6">
        <v>2.3372356023938</v>
      </c>
      <c r="AM5" s="6">
        <v>2.56190869406679</v>
      </c>
      <c r="AN5" s="6">
        <v>4.74318506127023</v>
      </c>
      <c r="AO5" s="6">
        <v>4.34381995889572</v>
      </c>
      <c r="AP5" s="6">
        <v>2.92395174185515</v>
      </c>
      <c r="AQ5" s="6">
        <v>1.0481802223058</v>
      </c>
      <c r="AR5" s="6">
        <v>1.59934649977294</v>
      </c>
      <c r="AS5" s="6">
        <v>-0.628658846908874</v>
      </c>
      <c r="AT5" s="6">
        <v>2.35837174390399</v>
      </c>
      <c r="AU5" s="6">
        <v>2.1066514052863</v>
      </c>
      <c r="AV5" s="6">
        <v>1.41299601530085</v>
      </c>
      <c r="AW5" s="6">
        <v>2.33632936675067</v>
      </c>
      <c r="AX5" s="6">
        <v>3.5886293379514</v>
      </c>
      <c r="AY5" s="6">
        <v>3.42135235980006</v>
      </c>
      <c r="AZ5" s="6">
        <v>3.92371245576191</v>
      </c>
      <c r="BA5" s="6">
        <v>1.98371211462977</v>
      </c>
      <c r="BB5" s="6">
        <v>1.13554174369233</v>
      </c>
      <c r="BC5" s="6">
        <v>0.823122997395163</v>
      </c>
      <c r="BD5" s="6">
        <v>2.82979658451117</v>
      </c>
      <c r="BE5" s="6">
        <v>1.66318213006728</v>
      </c>
      <c r="BF5" s="6">
        <v>2.44934540139417</v>
      </c>
      <c r="BG5" s="6">
        <v>2.42473978561776</v>
      </c>
      <c r="BH5" s="6">
        <v>0.25493676773192</v>
      </c>
      <c r="BI5" s="6">
        <v>-2.87332540715448</v>
      </c>
      <c r="BJ5" s="6">
        <v>1.94945890344995</v>
      </c>
      <c r="BK5" s="6">
        <v>2.19267971584139</v>
      </c>
      <c r="BL5" s="6">
        <v>0.31316447000194</v>
      </c>
      <c r="BM5" s="6">
        <v>0.576323570182615</v>
      </c>
      <c r="BN5" s="6">
        <v>0.956168723899057</v>
      </c>
      <c r="BO5" s="6">
        <v>1.11291234158153</v>
      </c>
      <c r="BP5" s="6">
        <v>1.09546258424186</v>
      </c>
      <c r="BQ5" s="6">
        <v>2.29140752391649</v>
      </c>
      <c r="BR5" s="6">
        <v>1.86509853990131</v>
      </c>
      <c r="BS5" s="6">
        <v>1.842969128839</v>
      </c>
      <c r="BT5" s="6">
        <v>-7.85526627243211</v>
      </c>
      <c r="BU5" s="42"/>
      <c r="BV5" s="42"/>
      <c r="BW5" s="42"/>
      <c r="BX5" s="42"/>
      <c r="BY5" s="42"/>
      <c r="BZ5" s="42"/>
    </row>
    <row r="6" ht="14.25" customHeight="1"/>
    <row r="7" ht="14.25" customHeight="1">
      <c r="C7" s="27"/>
      <c r="D7" s="27"/>
      <c r="E7" s="27"/>
      <c r="F7" s="27"/>
      <c r="G7" s="27"/>
      <c r="H7" s="27"/>
      <c r="I7" s="27"/>
      <c r="J7" s="27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6" width="9.38"/>
    <col customWidth="1" min="7" max="7" width="23.63"/>
    <col customWidth="1" min="8" max="26" width="9.38"/>
  </cols>
  <sheetData>
    <row r="1" ht="14.25" customHeight="1">
      <c r="A1" s="7" t="s">
        <v>96</v>
      </c>
      <c r="B1" s="4" t="s">
        <v>97</v>
      </c>
    </row>
    <row r="2" ht="14.25" customHeight="1">
      <c r="A2" s="43" t="s">
        <v>98</v>
      </c>
    </row>
    <row r="3" ht="14.25" customHeight="1">
      <c r="B3" s="7">
        <v>2018.0</v>
      </c>
      <c r="C3" s="7">
        <v>2019.0</v>
      </c>
      <c r="D3" s="4">
        <v>2020.0</v>
      </c>
      <c r="E3" s="4">
        <v>2021.0</v>
      </c>
      <c r="F3" s="4">
        <v>2022.0</v>
      </c>
      <c r="G3" s="4">
        <v>2023.0</v>
      </c>
      <c r="H3" s="4">
        <v>2024.0</v>
      </c>
      <c r="I3" s="4">
        <v>2025.0</v>
      </c>
      <c r="J3" s="4">
        <v>2026.0</v>
      </c>
      <c r="K3" s="4">
        <v>2027.0</v>
      </c>
    </row>
    <row r="4" ht="14.25" customHeight="1">
      <c r="A4" s="7" t="s">
        <v>99</v>
      </c>
      <c r="B4" s="44">
        <v>0.018000000000000002</v>
      </c>
      <c r="C4" s="44">
        <v>0.015</v>
      </c>
      <c r="D4" s="44">
        <v>-0.08199999999999999</v>
      </c>
      <c r="E4" s="44">
        <v>0.05</v>
      </c>
      <c r="F4" s="44">
        <v>0.04</v>
      </c>
      <c r="G4" s="44">
        <v>0.023</v>
      </c>
      <c r="H4" s="44">
        <v>0.016</v>
      </c>
      <c r="I4" s="44">
        <v>0.013999999999999999</v>
      </c>
      <c r="J4" s="44">
        <v>0.013999999999999999</v>
      </c>
      <c r="K4" s="45">
        <v>0.013999999999999999</v>
      </c>
    </row>
    <row r="5" ht="14.25" customHeight="1">
      <c r="A5" s="7" t="s">
        <v>100</v>
      </c>
      <c r="B5" s="44">
        <v>0.0125</v>
      </c>
      <c r="C5" s="44">
        <v>0.0125</v>
      </c>
      <c r="D5" s="44">
        <v>-0.003</v>
      </c>
      <c r="E5" s="44">
        <v>0.006</v>
      </c>
      <c r="F5" s="44">
        <v>0.013500000000000002</v>
      </c>
      <c r="G5" s="44">
        <v>0.013500000000000002</v>
      </c>
      <c r="H5" s="44">
        <v>0.013500000000000002</v>
      </c>
      <c r="I5" s="44">
        <v>0.013500000000000002</v>
      </c>
      <c r="J5" s="44">
        <v>0.013500000000000002</v>
      </c>
      <c r="K5" s="46">
        <v>0.013500000000000002</v>
      </c>
    </row>
    <row r="6" ht="14.25" customHeight="1"/>
    <row r="7" ht="14.25" customHeight="1">
      <c r="A7" s="47" t="s">
        <v>101</v>
      </c>
      <c r="B7" s="48" t="s">
        <v>102</v>
      </c>
    </row>
    <row r="8" ht="14.25" customHeight="1">
      <c r="A8" s="49"/>
      <c r="B8" s="50">
        <v>2020.0</v>
      </c>
      <c r="C8" s="51">
        <v>2021.0</v>
      </c>
      <c r="D8" s="52">
        <v>2022.0</v>
      </c>
      <c r="G8" s="53" t="s">
        <v>6</v>
      </c>
      <c r="H8" s="54" t="s">
        <v>7</v>
      </c>
      <c r="I8" s="55" t="s">
        <v>8</v>
      </c>
      <c r="J8" s="55" t="s">
        <v>9</v>
      </c>
      <c r="K8" s="55" t="s">
        <v>10</v>
      </c>
      <c r="L8" s="55" t="s">
        <v>11</v>
      </c>
      <c r="M8" s="56" t="s">
        <v>12</v>
      </c>
    </row>
    <row r="9" ht="14.25" customHeight="1">
      <c r="A9" s="57" t="s">
        <v>103</v>
      </c>
      <c r="B9" s="58">
        <v>-8.2</v>
      </c>
      <c r="C9" s="59">
        <v>5.5</v>
      </c>
      <c r="D9" s="60">
        <v>3.9</v>
      </c>
      <c r="G9" s="61" t="s">
        <v>14</v>
      </c>
      <c r="H9" s="62">
        <v>0.006695266679317413</v>
      </c>
      <c r="I9" s="63">
        <v>0.017328361641375967</v>
      </c>
      <c r="J9" s="63">
        <v>0.019074672813402138</v>
      </c>
      <c r="K9" s="63">
        <v>0.01701093257446762</v>
      </c>
      <c r="L9" s="63">
        <v>0.017344213951059118</v>
      </c>
      <c r="M9" s="64">
        <v>0.01687761850849845</v>
      </c>
    </row>
    <row r="10" ht="14.25" customHeight="1">
      <c r="A10" s="65" t="s">
        <v>104</v>
      </c>
      <c r="B10" s="66">
        <v>-8.2</v>
      </c>
      <c r="C10" s="67">
        <v>4.0</v>
      </c>
      <c r="D10" s="68">
        <v>2.7</v>
      </c>
      <c r="G10" s="69" t="s">
        <v>16</v>
      </c>
      <c r="H10" s="70"/>
      <c r="I10" s="71">
        <v>0.01665172148385441</v>
      </c>
      <c r="J10" s="71">
        <v>0.016074671847399413</v>
      </c>
      <c r="K10" s="71">
        <v>0.01401093204634929</v>
      </c>
      <c r="L10" s="71">
        <v>0.014344213269581019</v>
      </c>
      <c r="M10" s="72">
        <v>0.013877618037283046</v>
      </c>
    </row>
    <row r="11" ht="14.25" customHeight="1">
      <c r="A11" s="65" t="s">
        <v>105</v>
      </c>
      <c r="B11" s="66">
        <v>-8.2</v>
      </c>
      <c r="C11" s="67">
        <v>6.8</v>
      </c>
      <c r="D11" s="68">
        <v>6.0</v>
      </c>
      <c r="G11" s="73" t="s">
        <v>18</v>
      </c>
      <c r="H11" s="70"/>
      <c r="I11" s="74">
        <v>0.016207621829718022</v>
      </c>
      <c r="J11" s="74">
        <v>0.014074671200222433</v>
      </c>
      <c r="K11" s="74">
        <v>0.012010931692531424</v>
      </c>
      <c r="L11" s="74">
        <v>0.01234421281301934</v>
      </c>
      <c r="M11" s="75">
        <v>0.011877617721587352</v>
      </c>
      <c r="N11" s="4"/>
      <c r="O11" s="4"/>
    </row>
    <row r="12" ht="14.25" customHeight="1">
      <c r="A12" s="76" t="s">
        <v>106</v>
      </c>
      <c r="B12" s="77">
        <v>-8.2</v>
      </c>
      <c r="C12" s="78">
        <v>5.0</v>
      </c>
      <c r="D12" s="79">
        <v>4.0</v>
      </c>
      <c r="G12" s="80" t="s">
        <v>20</v>
      </c>
      <c r="H12" s="81"/>
      <c r="I12" s="82">
        <v>0.015540853561997414</v>
      </c>
      <c r="J12" s="82">
        <v>0.011062173704871503</v>
      </c>
      <c r="K12" s="82">
        <v>0.009022048511884817</v>
      </c>
      <c r="L12" s="82">
        <v>0.00934421212478509</v>
      </c>
      <c r="M12" s="83">
        <v>0.008888733129545079</v>
      </c>
      <c r="N12" s="4"/>
      <c r="O12" s="4"/>
    </row>
    <row r="13" ht="14.25" customHeight="1">
      <c r="G13" s="84" t="s">
        <v>107</v>
      </c>
      <c r="H13" s="85">
        <v>0.003733734196729177</v>
      </c>
      <c r="I13" s="86">
        <v>0.00196822479827774</v>
      </c>
      <c r="J13" s="86">
        <v>0.0017024956342535091</v>
      </c>
      <c r="K13" s="86">
        <v>6.847963544964752E-4</v>
      </c>
      <c r="L13" s="86">
        <v>0.0012481425909853794</v>
      </c>
      <c r="M13" s="87">
        <v>9.12245949214574E-4</v>
      </c>
      <c r="N13" s="4"/>
      <c r="O13" s="4"/>
    </row>
    <row r="14" ht="14.25" customHeight="1">
      <c r="G14" s="9"/>
      <c r="H14" s="25"/>
      <c r="I14" s="11"/>
      <c r="J14" s="11"/>
      <c r="K14" s="11"/>
      <c r="L14" s="11"/>
      <c r="M14" s="11"/>
      <c r="N14" s="4"/>
      <c r="O14" s="4"/>
    </row>
    <row r="15" ht="14.25" customHeight="1">
      <c r="G15" s="9"/>
      <c r="H15" s="25"/>
      <c r="I15" s="11"/>
      <c r="J15" s="11"/>
      <c r="K15" s="11"/>
      <c r="L15" s="11"/>
      <c r="M15" s="11"/>
      <c r="N15" s="4"/>
      <c r="O15" s="4"/>
    </row>
    <row r="16" ht="14.25" customHeight="1">
      <c r="G16" s="9"/>
      <c r="H16" s="25"/>
      <c r="I16" s="11"/>
      <c r="J16" s="11"/>
      <c r="K16" s="11"/>
      <c r="L16" s="11"/>
      <c r="M16" s="11"/>
      <c r="N16" s="4"/>
      <c r="O16" s="4"/>
    </row>
    <row r="17" ht="14.25" customHeight="1">
      <c r="G17" s="9"/>
      <c r="H17" s="11"/>
      <c r="I17" s="11"/>
      <c r="J17" s="11"/>
      <c r="K17" s="11"/>
      <c r="L17" s="11"/>
      <c r="M17" s="11"/>
      <c r="N17" s="4"/>
      <c r="O17" s="4"/>
    </row>
    <row r="18" ht="14.25" customHeight="1"/>
    <row r="19" ht="14.25" customHeight="1">
      <c r="F19" s="4"/>
      <c r="G19" s="4"/>
      <c r="H19" s="4"/>
      <c r="I19" s="4"/>
      <c r="J19" s="4"/>
      <c r="K19" s="4"/>
      <c r="L19" s="4"/>
      <c r="M19" s="4"/>
      <c r="N19" s="4"/>
    </row>
    <row r="20" ht="14.25" customHeight="1">
      <c r="F20" s="4"/>
      <c r="G20" s="88"/>
      <c r="H20" s="88"/>
      <c r="I20" s="88"/>
      <c r="J20" s="88"/>
      <c r="K20" s="88"/>
      <c r="L20" s="88"/>
      <c r="M20" s="88"/>
      <c r="N20" s="4"/>
    </row>
    <row r="21" ht="14.25" customHeight="1">
      <c r="F21" s="4"/>
      <c r="G21" s="9"/>
      <c r="H21" s="25"/>
      <c r="I21" s="11"/>
      <c r="J21" s="11"/>
      <c r="K21" s="11"/>
      <c r="L21" s="11"/>
      <c r="M21" s="11"/>
      <c r="N21" s="4"/>
    </row>
    <row r="22" ht="14.25" customHeight="1">
      <c r="F22" s="4"/>
      <c r="G22" s="9"/>
      <c r="H22" s="25"/>
      <c r="I22" s="11"/>
      <c r="J22" s="11"/>
      <c r="K22" s="11"/>
      <c r="L22" s="11"/>
      <c r="M22" s="11"/>
      <c r="N22" s="4"/>
    </row>
    <row r="23" ht="14.25" customHeight="1">
      <c r="F23" s="4"/>
      <c r="G23" s="9"/>
      <c r="H23" s="25"/>
      <c r="I23" s="11"/>
      <c r="J23" s="11"/>
      <c r="K23" s="11"/>
      <c r="L23" s="11"/>
      <c r="M23" s="11"/>
      <c r="N23" s="4"/>
    </row>
    <row r="24" ht="14.25" customHeight="1">
      <c r="F24" s="4"/>
      <c r="G24" s="9"/>
      <c r="H24" s="25"/>
      <c r="I24" s="11"/>
      <c r="J24" s="11"/>
      <c r="K24" s="11"/>
      <c r="L24" s="11"/>
      <c r="M24" s="11"/>
      <c r="N24" s="4"/>
    </row>
    <row r="25" ht="14.25" customHeight="1">
      <c r="F25" s="4"/>
      <c r="G25" s="9"/>
      <c r="H25" s="11"/>
      <c r="I25" s="11"/>
      <c r="J25" s="11"/>
      <c r="K25" s="11"/>
      <c r="L25" s="11"/>
      <c r="M25" s="11"/>
      <c r="N25" s="4"/>
    </row>
    <row r="26" ht="14.25" customHeight="1">
      <c r="F26" s="4"/>
      <c r="G26" s="4"/>
      <c r="H26" s="4"/>
      <c r="I26" s="4"/>
      <c r="J26" s="4"/>
      <c r="K26" s="4"/>
      <c r="L26" s="4"/>
      <c r="M26" s="4"/>
      <c r="N26" s="4"/>
    </row>
    <row r="27" ht="14.25" customHeight="1">
      <c r="F27" s="4"/>
      <c r="G27" s="4"/>
      <c r="H27" s="4"/>
      <c r="I27" s="4"/>
      <c r="J27" s="4"/>
      <c r="K27" s="4"/>
      <c r="L27" s="4"/>
      <c r="M27" s="4"/>
      <c r="N27" s="4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7:D7"/>
    <mergeCell ref="H9:H1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9.88"/>
    <col customWidth="1" min="3" max="3" width="8.63"/>
    <col customWidth="1" min="4" max="4" width="9.25"/>
    <col customWidth="1" min="5" max="5" width="11.25"/>
    <col customWidth="1" min="6" max="6" width="5.25"/>
    <col customWidth="1" min="7" max="7" width="10.38"/>
    <col customWidth="1" min="8" max="8" width="9.38"/>
    <col customWidth="1" min="9" max="62" width="10.13"/>
  </cols>
  <sheetData>
    <row r="1" ht="14.25" customHeight="1">
      <c r="A1" s="4" t="s">
        <v>108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</row>
    <row r="2" ht="14.25" customHeight="1">
      <c r="A2" s="4" t="s">
        <v>109</v>
      </c>
      <c r="B2" s="4" t="s">
        <v>83</v>
      </c>
      <c r="C2" s="4" t="s">
        <v>83</v>
      </c>
      <c r="D2" s="4" t="s">
        <v>83</v>
      </c>
      <c r="E2" s="4" t="s">
        <v>83</v>
      </c>
      <c r="F2" s="4" t="s">
        <v>83</v>
      </c>
      <c r="G2" s="4" t="s">
        <v>83</v>
      </c>
      <c r="H2" s="4" t="s">
        <v>83</v>
      </c>
      <c r="I2" s="4" t="s">
        <v>83</v>
      </c>
      <c r="J2" s="4" t="s">
        <v>83</v>
      </c>
      <c r="K2" s="4" t="s">
        <v>83</v>
      </c>
      <c r="L2" s="4" t="s">
        <v>83</v>
      </c>
      <c r="M2" s="4" t="s">
        <v>83</v>
      </c>
      <c r="N2" s="4" t="s">
        <v>83</v>
      </c>
      <c r="O2" s="4" t="s">
        <v>83</v>
      </c>
      <c r="P2" s="4" t="s">
        <v>83</v>
      </c>
      <c r="Q2" s="4" t="s">
        <v>83</v>
      </c>
      <c r="R2" s="4" t="s">
        <v>83</v>
      </c>
      <c r="S2" s="4" t="s">
        <v>83</v>
      </c>
      <c r="T2" s="4" t="s">
        <v>83</v>
      </c>
      <c r="U2" s="4" t="s">
        <v>83</v>
      </c>
      <c r="V2" s="4" t="s">
        <v>83</v>
      </c>
      <c r="W2" s="4" t="s">
        <v>83</v>
      </c>
      <c r="X2" s="4" t="s">
        <v>83</v>
      </c>
      <c r="Y2" s="4" t="s">
        <v>83</v>
      </c>
      <c r="Z2" s="4" t="s">
        <v>83</v>
      </c>
      <c r="AA2" s="4" t="s">
        <v>83</v>
      </c>
      <c r="AB2" s="4" t="s">
        <v>83</v>
      </c>
      <c r="AC2" s="4" t="s">
        <v>83</v>
      </c>
      <c r="AD2" s="4" t="s">
        <v>83</v>
      </c>
      <c r="AE2" s="4" t="s">
        <v>83</v>
      </c>
      <c r="AF2" s="4" t="s">
        <v>83</v>
      </c>
      <c r="AG2" s="4" t="s">
        <v>83</v>
      </c>
      <c r="AH2" s="4" t="s">
        <v>83</v>
      </c>
      <c r="AI2" s="4" t="s">
        <v>83</v>
      </c>
      <c r="AJ2" s="4" t="s">
        <v>83</v>
      </c>
      <c r="AK2" s="4" t="s">
        <v>83</v>
      </c>
      <c r="AL2" s="4" t="s">
        <v>83</v>
      </c>
      <c r="AM2" s="4" t="s">
        <v>83</v>
      </c>
      <c r="AN2" s="4" t="s">
        <v>83</v>
      </c>
      <c r="AO2" s="4" t="s">
        <v>83</v>
      </c>
      <c r="AP2" s="4" t="s">
        <v>83</v>
      </c>
      <c r="AQ2" s="4" t="s">
        <v>83</v>
      </c>
      <c r="AR2" s="4" t="s">
        <v>83</v>
      </c>
      <c r="AS2" s="4" t="s">
        <v>83</v>
      </c>
      <c r="AT2" s="4" t="s">
        <v>83</v>
      </c>
      <c r="AU2" s="4" t="s">
        <v>83</v>
      </c>
      <c r="AV2" s="4" t="s">
        <v>83</v>
      </c>
      <c r="AW2" s="4" t="s">
        <v>83</v>
      </c>
      <c r="AX2" s="4" t="s">
        <v>83</v>
      </c>
      <c r="AY2" s="4" t="s">
        <v>83</v>
      </c>
      <c r="AZ2" s="4" t="s">
        <v>83</v>
      </c>
      <c r="BA2" s="4" t="s">
        <v>83</v>
      </c>
      <c r="BB2" s="4" t="s">
        <v>83</v>
      </c>
      <c r="BC2" s="4" t="s">
        <v>83</v>
      </c>
      <c r="BD2" s="4" t="s">
        <v>83</v>
      </c>
      <c r="BE2" s="4" t="s">
        <v>83</v>
      </c>
      <c r="BF2" s="4" t="s">
        <v>83</v>
      </c>
      <c r="BG2" s="4" t="s">
        <v>83</v>
      </c>
      <c r="BH2" s="4" t="s">
        <v>83</v>
      </c>
      <c r="BI2" s="4" t="s">
        <v>83</v>
      </c>
      <c r="BJ2" s="4" t="s">
        <v>83</v>
      </c>
    </row>
    <row r="3" ht="14.25" customHeight="1">
      <c r="A3" s="4" t="s">
        <v>110</v>
      </c>
      <c r="B3" s="4" t="s">
        <v>111</v>
      </c>
      <c r="C3" s="4" t="s">
        <v>111</v>
      </c>
      <c r="D3" s="4" t="s">
        <v>111</v>
      </c>
      <c r="E3" s="4" t="s">
        <v>111</v>
      </c>
      <c r="F3" s="4" t="s">
        <v>111</v>
      </c>
      <c r="G3" s="4" t="s">
        <v>111</v>
      </c>
      <c r="H3" s="4" t="s">
        <v>111</v>
      </c>
      <c r="I3" s="4" t="s">
        <v>111</v>
      </c>
      <c r="J3" s="4" t="s">
        <v>111</v>
      </c>
      <c r="K3" s="4" t="s">
        <v>111</v>
      </c>
      <c r="L3" s="4" t="s">
        <v>111</v>
      </c>
      <c r="M3" s="4" t="s">
        <v>111</v>
      </c>
      <c r="N3" s="4" t="s">
        <v>111</v>
      </c>
      <c r="O3" s="4" t="s">
        <v>111</v>
      </c>
      <c r="P3" s="4" t="s">
        <v>111</v>
      </c>
      <c r="Q3" s="4" t="s">
        <v>111</v>
      </c>
      <c r="R3" s="4" t="s">
        <v>111</v>
      </c>
      <c r="S3" s="4" t="s">
        <v>111</v>
      </c>
      <c r="T3" s="4" t="s">
        <v>111</v>
      </c>
      <c r="U3" s="4" t="s">
        <v>111</v>
      </c>
      <c r="V3" s="4" t="s">
        <v>111</v>
      </c>
      <c r="W3" s="4" t="s">
        <v>111</v>
      </c>
      <c r="X3" s="4" t="s">
        <v>111</v>
      </c>
      <c r="Y3" s="4" t="s">
        <v>111</v>
      </c>
      <c r="Z3" s="4" t="s">
        <v>111</v>
      </c>
      <c r="AA3" s="4" t="s">
        <v>111</v>
      </c>
      <c r="AB3" s="4" t="s">
        <v>111</v>
      </c>
      <c r="AC3" s="4" t="s">
        <v>111</v>
      </c>
      <c r="AD3" s="4" t="s">
        <v>111</v>
      </c>
      <c r="AE3" s="4" t="s">
        <v>111</v>
      </c>
      <c r="AF3" s="4" t="s">
        <v>111</v>
      </c>
      <c r="AG3" s="4" t="s">
        <v>111</v>
      </c>
      <c r="AH3" s="4" t="s">
        <v>111</v>
      </c>
      <c r="AI3" s="4" t="s">
        <v>111</v>
      </c>
      <c r="AJ3" s="4" t="s">
        <v>111</v>
      </c>
      <c r="AK3" s="4" t="s">
        <v>111</v>
      </c>
      <c r="AL3" s="4" t="s">
        <v>111</v>
      </c>
      <c r="AM3" s="4" t="s">
        <v>111</v>
      </c>
      <c r="AN3" s="4" t="s">
        <v>111</v>
      </c>
      <c r="AO3" s="4" t="s">
        <v>111</v>
      </c>
      <c r="AP3" s="4" t="s">
        <v>111</v>
      </c>
      <c r="AQ3" s="4" t="s">
        <v>111</v>
      </c>
      <c r="AR3" s="4" t="s">
        <v>111</v>
      </c>
      <c r="AS3" s="4" t="s">
        <v>111</v>
      </c>
      <c r="AT3" s="4" t="s">
        <v>111</v>
      </c>
      <c r="AU3" s="4" t="s">
        <v>111</v>
      </c>
      <c r="AV3" s="4" t="s">
        <v>111</v>
      </c>
      <c r="AW3" s="4" t="s">
        <v>111</v>
      </c>
      <c r="AX3" s="4" t="s">
        <v>111</v>
      </c>
      <c r="AY3" s="4" t="s">
        <v>111</v>
      </c>
      <c r="AZ3" s="4" t="s">
        <v>111</v>
      </c>
      <c r="BA3" s="4" t="s">
        <v>111</v>
      </c>
      <c r="BB3" s="4" t="s">
        <v>111</v>
      </c>
      <c r="BC3" s="4" t="s">
        <v>111</v>
      </c>
      <c r="BD3" s="4" t="s">
        <v>111</v>
      </c>
      <c r="BE3" s="4" t="s">
        <v>111</v>
      </c>
      <c r="BF3" s="4" t="s">
        <v>111</v>
      </c>
      <c r="BG3" s="4" t="s">
        <v>111</v>
      </c>
      <c r="BH3" s="4" t="s">
        <v>111</v>
      </c>
      <c r="BI3" s="4" t="s">
        <v>111</v>
      </c>
      <c r="BJ3" s="4" t="s">
        <v>111</v>
      </c>
    </row>
    <row r="4" ht="14.25" customHeight="1">
      <c r="A4" s="4" t="s">
        <v>112</v>
      </c>
      <c r="B4" s="4">
        <v>1960.0</v>
      </c>
      <c r="C4" s="4">
        <v>1961.0</v>
      </c>
      <c r="D4" s="4">
        <v>1962.0</v>
      </c>
      <c r="E4" s="4">
        <v>1963.0</v>
      </c>
      <c r="F4" s="4">
        <v>1964.0</v>
      </c>
      <c r="G4" s="4">
        <v>1965.0</v>
      </c>
      <c r="H4" s="4">
        <v>1966.0</v>
      </c>
      <c r="I4" s="4">
        <v>1967.0</v>
      </c>
      <c r="J4" s="4">
        <v>1968.0</v>
      </c>
      <c r="K4" s="4">
        <v>1969.0</v>
      </c>
      <c r="L4" s="4">
        <v>1970.0</v>
      </c>
      <c r="M4" s="4">
        <v>1971.0</v>
      </c>
      <c r="N4" s="4">
        <v>1972.0</v>
      </c>
      <c r="O4" s="4">
        <v>1973.0</v>
      </c>
      <c r="P4" s="4">
        <v>1974.0</v>
      </c>
      <c r="Q4" s="4">
        <v>1975.0</v>
      </c>
      <c r="R4" s="4">
        <v>1976.0</v>
      </c>
      <c r="S4" s="4">
        <v>1977.0</v>
      </c>
      <c r="T4" s="4">
        <v>1978.0</v>
      </c>
      <c r="U4" s="4">
        <v>1979.0</v>
      </c>
      <c r="V4" s="4">
        <v>1980.0</v>
      </c>
      <c r="W4" s="4">
        <v>1981.0</v>
      </c>
      <c r="X4" s="4">
        <v>1982.0</v>
      </c>
      <c r="Y4" s="4">
        <v>1983.0</v>
      </c>
      <c r="Z4" s="4">
        <v>1984.0</v>
      </c>
      <c r="AA4" s="4">
        <v>1985.0</v>
      </c>
      <c r="AB4" s="4">
        <v>1986.0</v>
      </c>
      <c r="AC4" s="4">
        <v>1987.0</v>
      </c>
      <c r="AD4" s="4">
        <v>1988.0</v>
      </c>
      <c r="AE4" s="4">
        <v>1989.0</v>
      </c>
      <c r="AF4" s="4">
        <v>1990.0</v>
      </c>
      <c r="AG4" s="4">
        <v>1991.0</v>
      </c>
      <c r="AH4" s="4">
        <v>1992.0</v>
      </c>
      <c r="AI4" s="4">
        <v>1993.0</v>
      </c>
      <c r="AJ4" s="4">
        <v>1994.0</v>
      </c>
      <c r="AK4" s="4">
        <v>1995.0</v>
      </c>
      <c r="AL4" s="4">
        <v>1996.0</v>
      </c>
      <c r="AM4" s="4">
        <v>1997.0</v>
      </c>
      <c r="AN4" s="4">
        <v>1998.0</v>
      </c>
      <c r="AO4" s="4">
        <v>1999.0</v>
      </c>
      <c r="AP4" s="4">
        <v>2000.0</v>
      </c>
      <c r="AQ4" s="4">
        <v>2001.0</v>
      </c>
      <c r="AR4" s="4">
        <v>2002.0</v>
      </c>
      <c r="AS4" s="4">
        <v>2003.0</v>
      </c>
      <c r="AT4" s="4">
        <v>2004.0</v>
      </c>
      <c r="AU4" s="4">
        <v>2005.0</v>
      </c>
      <c r="AV4" s="4">
        <v>2006.0</v>
      </c>
      <c r="AW4" s="4">
        <v>2007.0</v>
      </c>
      <c r="AX4" s="4">
        <v>2008.0</v>
      </c>
      <c r="AY4" s="4">
        <v>2009.0</v>
      </c>
      <c r="AZ4" s="4">
        <v>2010.0</v>
      </c>
      <c r="BA4" s="4">
        <v>2011.0</v>
      </c>
      <c r="BB4" s="4">
        <v>2012.0</v>
      </c>
      <c r="BC4" s="4">
        <v>2013.0</v>
      </c>
      <c r="BD4" s="4">
        <v>2014.0</v>
      </c>
      <c r="BE4" s="4">
        <v>2015.0</v>
      </c>
      <c r="BF4" s="4">
        <v>2016.0</v>
      </c>
      <c r="BG4" s="4">
        <v>2017.0</v>
      </c>
      <c r="BH4" s="4">
        <v>2018.0</v>
      </c>
      <c r="BI4" s="4">
        <v>2019.0</v>
      </c>
      <c r="BJ4" s="4">
        <v>2020.0</v>
      </c>
    </row>
    <row r="5" ht="14.25" customHeight="1">
      <c r="A5" s="4" t="s">
        <v>113</v>
      </c>
      <c r="B5" s="4">
        <v>84286.645</v>
      </c>
      <c r="C5" s="4">
        <v>89236.064</v>
      </c>
      <c r="D5" s="4">
        <v>97734.662</v>
      </c>
      <c r="E5" s="4">
        <v>104468.637</v>
      </c>
      <c r="F5" s="4">
        <v>113249.46</v>
      </c>
      <c r="G5" s="4">
        <v>122389.747</v>
      </c>
      <c r="H5" s="4">
        <v>133414.117</v>
      </c>
      <c r="I5" s="4">
        <v>143803.056</v>
      </c>
      <c r="J5" s="4">
        <v>157794.703</v>
      </c>
      <c r="K5" s="4">
        <v>179129.265</v>
      </c>
      <c r="L5" s="4">
        <v>191396.986</v>
      </c>
      <c r="M5" s="4">
        <v>211791.061</v>
      </c>
      <c r="N5" s="4">
        <v>230914.012</v>
      </c>
      <c r="O5" s="4">
        <v>259021.186</v>
      </c>
      <c r="P5" s="4">
        <v>294472.454</v>
      </c>
      <c r="Q5" s="4">
        <v>318659.915</v>
      </c>
      <c r="R5" s="4">
        <v>350844.298</v>
      </c>
      <c r="S5" s="4">
        <v>385553.046</v>
      </c>
      <c r="T5" s="4">
        <v>429090.56</v>
      </c>
      <c r="U5" s="4">
        <v>481186.916</v>
      </c>
      <c r="V5" s="4">
        <v>532935.642</v>
      </c>
      <c r="W5" s="4">
        <v>589599.228</v>
      </c>
      <c r="X5" s="4">
        <v>641710.412</v>
      </c>
      <c r="Y5" s="4">
        <v>675119.392</v>
      </c>
      <c r="Z5" s="4">
        <v>710063.913</v>
      </c>
      <c r="AA5" s="4">
        <v>744406.479</v>
      </c>
      <c r="AB5" s="4">
        <v>777147.28</v>
      </c>
      <c r="AC5" s="4">
        <v>816764.199</v>
      </c>
      <c r="AD5" s="4">
        <v>885681.871</v>
      </c>
      <c r="AE5" s="4">
        <v>960384.657</v>
      </c>
      <c r="AF5" s="4">
        <v>1025467.267</v>
      </c>
      <c r="AG5" s="4">
        <v>1071258.248</v>
      </c>
      <c r="AH5" s="4">
        <v>1113194.79</v>
      </c>
      <c r="AI5" s="4">
        <v>1132405.395</v>
      </c>
      <c r="AJ5" s="4">
        <v>1183862.802</v>
      </c>
      <c r="AK5" s="4">
        <v>1234149.753</v>
      </c>
      <c r="AL5" s="4">
        <v>1273114.085</v>
      </c>
      <c r="AM5" s="4">
        <v>1333377.621</v>
      </c>
      <c r="AN5" s="4">
        <v>1405861.087</v>
      </c>
      <c r="AO5" s="4">
        <v>1470523.886</v>
      </c>
      <c r="AP5" s="4">
        <v>1589936.939</v>
      </c>
      <c r="AQ5" s="4">
        <v>1687447.704</v>
      </c>
      <c r="AR5" s="4">
        <v>1762925.935</v>
      </c>
      <c r="AS5" s="4">
        <v>1751797.978</v>
      </c>
      <c r="AT5" s="4">
        <v>1820723.319</v>
      </c>
      <c r="AU5" s="4">
        <v>1926880.385</v>
      </c>
      <c r="AV5" s="4">
        <v>2062931.189</v>
      </c>
      <c r="AW5" s="4">
        <v>2181667.496</v>
      </c>
      <c r="AX5" s="4">
        <v>2259255.844</v>
      </c>
      <c r="AY5" s="4">
        <v>2245566.431</v>
      </c>
      <c r="AZ5" s="4">
        <v>2336459.963</v>
      </c>
      <c r="BA5" s="4">
        <v>2446474.544</v>
      </c>
      <c r="BB5" s="4">
        <v>2474005.287</v>
      </c>
      <c r="BC5" s="4">
        <v>2608523.504</v>
      </c>
      <c r="BD5" s="4">
        <v>2662032.873</v>
      </c>
      <c r="BE5" s="4">
        <v>2718495.127</v>
      </c>
      <c r="BF5" s="4">
        <v>2864105.631</v>
      </c>
      <c r="BG5" s="4">
        <v>2983010.673</v>
      </c>
      <c r="BH5" s="4">
        <v>3128336.847</v>
      </c>
      <c r="BI5" s="4">
        <v>3336886.582</v>
      </c>
      <c r="BJ5" s="4">
        <v>3147996.901</v>
      </c>
    </row>
    <row r="6" ht="14.25" customHeight="1">
      <c r="A6" s="4" t="s">
        <v>114</v>
      </c>
      <c r="B6" s="4"/>
      <c r="C6" s="5">
        <f t="shared" ref="C6:BJ6" si="1">(C5-B5)/B5</f>
        <v>0.05872127192</v>
      </c>
      <c r="D6" s="5">
        <f t="shared" si="1"/>
        <v>0.09523725744</v>
      </c>
      <c r="E6" s="5">
        <f t="shared" si="1"/>
        <v>0.06890058104</v>
      </c>
      <c r="F6" s="5">
        <f t="shared" si="1"/>
        <v>0.08405224048</v>
      </c>
      <c r="G6" s="5">
        <f t="shared" si="1"/>
        <v>0.08070932082</v>
      </c>
      <c r="H6" s="5">
        <f t="shared" si="1"/>
        <v>0.09007592768</v>
      </c>
      <c r="I6" s="5">
        <f t="shared" si="1"/>
        <v>0.0778698629</v>
      </c>
      <c r="J6" s="5">
        <f t="shared" si="1"/>
        <v>0.09729728553</v>
      </c>
      <c r="K6" s="5">
        <f t="shared" si="1"/>
        <v>0.1352045512</v>
      </c>
      <c r="L6" s="5">
        <f t="shared" si="1"/>
        <v>0.06848529747</v>
      </c>
      <c r="M6" s="5">
        <f t="shared" si="1"/>
        <v>0.1065537939</v>
      </c>
      <c r="N6" s="5">
        <f t="shared" si="1"/>
        <v>0.09029158695</v>
      </c>
      <c r="O6" s="5">
        <f t="shared" si="1"/>
        <v>0.1217213878</v>
      </c>
      <c r="P6" s="5">
        <f t="shared" si="1"/>
        <v>0.1368662871</v>
      </c>
      <c r="Q6" s="5">
        <f t="shared" si="1"/>
        <v>0.08213828041</v>
      </c>
      <c r="R6" s="5">
        <f t="shared" si="1"/>
        <v>0.1009991577</v>
      </c>
      <c r="S6" s="5">
        <f t="shared" si="1"/>
        <v>0.09892920648</v>
      </c>
      <c r="T6" s="5">
        <f t="shared" si="1"/>
        <v>0.1129222411</v>
      </c>
      <c r="U6" s="5">
        <f t="shared" si="1"/>
        <v>0.1214110979</v>
      </c>
      <c r="V6" s="5">
        <f t="shared" si="1"/>
        <v>0.1075439175</v>
      </c>
      <c r="W6" s="5">
        <f t="shared" si="1"/>
        <v>0.1063235061</v>
      </c>
      <c r="X6" s="5">
        <f t="shared" si="1"/>
        <v>0.08838407773</v>
      </c>
      <c r="Y6" s="5">
        <f t="shared" si="1"/>
        <v>0.05206239353</v>
      </c>
      <c r="Z6" s="5">
        <f t="shared" si="1"/>
        <v>0.0517605055</v>
      </c>
      <c r="AA6" s="5">
        <f t="shared" si="1"/>
        <v>0.04836545749</v>
      </c>
      <c r="AB6" s="5">
        <f t="shared" si="1"/>
        <v>0.04398242348</v>
      </c>
      <c r="AC6" s="5">
        <f t="shared" si="1"/>
        <v>0.050977363</v>
      </c>
      <c r="AD6" s="5">
        <f t="shared" si="1"/>
        <v>0.08437890897</v>
      </c>
      <c r="AE6" s="5">
        <f t="shared" si="1"/>
        <v>0.08434494195</v>
      </c>
      <c r="AF6" s="5">
        <f t="shared" si="1"/>
        <v>0.06776723215</v>
      </c>
      <c r="AG6" s="5">
        <f t="shared" si="1"/>
        <v>0.04465377148</v>
      </c>
      <c r="AH6" s="5">
        <f t="shared" si="1"/>
        <v>0.03914699567</v>
      </c>
      <c r="AI6" s="5">
        <f t="shared" si="1"/>
        <v>0.01725718192</v>
      </c>
      <c r="AJ6" s="5">
        <f t="shared" si="1"/>
        <v>0.04544079994</v>
      </c>
      <c r="AK6" s="5">
        <f t="shared" si="1"/>
        <v>0.04247700909</v>
      </c>
      <c r="AL6" s="5">
        <f t="shared" si="1"/>
        <v>0.03157180229</v>
      </c>
      <c r="AM6" s="5">
        <f t="shared" si="1"/>
        <v>0.04733553474</v>
      </c>
      <c r="AN6" s="5">
        <f t="shared" si="1"/>
        <v>0.05436079387</v>
      </c>
      <c r="AO6" s="5">
        <f t="shared" si="1"/>
        <v>0.04599515528</v>
      </c>
      <c r="AP6" s="5">
        <f t="shared" si="1"/>
        <v>0.08120442934</v>
      </c>
      <c r="AQ6" s="5">
        <f t="shared" si="1"/>
        <v>0.06132995757</v>
      </c>
      <c r="AR6" s="5">
        <f t="shared" si="1"/>
        <v>0.04472922676</v>
      </c>
      <c r="AS6" s="5">
        <f t="shared" si="1"/>
        <v>-0.006312209027</v>
      </c>
      <c r="AT6" s="5">
        <f t="shared" si="1"/>
        <v>0.03934548496</v>
      </c>
      <c r="AU6" s="5">
        <f t="shared" si="1"/>
        <v>0.05830488625</v>
      </c>
      <c r="AV6" s="5">
        <f t="shared" si="1"/>
        <v>0.07060677199</v>
      </c>
      <c r="AW6" s="5">
        <f t="shared" si="1"/>
        <v>0.05755708558</v>
      </c>
      <c r="AX6" s="5">
        <f t="shared" si="1"/>
        <v>0.03556378236</v>
      </c>
      <c r="AY6" s="5">
        <f t="shared" si="1"/>
        <v>-0.006059257537</v>
      </c>
      <c r="AZ6" s="5">
        <f t="shared" si="1"/>
        <v>0.04047688403</v>
      </c>
      <c r="BA6" s="5">
        <f t="shared" si="1"/>
        <v>0.04708601163</v>
      </c>
      <c r="BB6" s="5">
        <f t="shared" si="1"/>
        <v>0.01125323093</v>
      </c>
      <c r="BC6" s="5">
        <f t="shared" si="1"/>
        <v>0.05437264735</v>
      </c>
      <c r="BD6" s="5">
        <f t="shared" si="1"/>
        <v>0.02051327846</v>
      </c>
      <c r="BE6" s="5">
        <f t="shared" si="1"/>
        <v>0.02121020164</v>
      </c>
      <c r="BF6" s="5">
        <f t="shared" si="1"/>
        <v>0.05356290786</v>
      </c>
      <c r="BG6" s="5">
        <f t="shared" si="1"/>
        <v>0.04151559241</v>
      </c>
      <c r="BH6" s="5">
        <f t="shared" si="1"/>
        <v>0.04871795308</v>
      </c>
      <c r="BI6" s="5">
        <f t="shared" si="1"/>
        <v>0.0666647312</v>
      </c>
      <c r="BJ6" s="5">
        <f t="shared" si="1"/>
        <v>-0.05660656314</v>
      </c>
    </row>
    <row r="7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</row>
    <row r="9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</row>
    <row r="10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</row>
    <row r="12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4" width="9.38"/>
    <col customWidth="1" min="5" max="9" width="10.88"/>
    <col customWidth="1" min="10" max="14" width="10.63"/>
    <col customWidth="1" min="15" max="65" width="9.38"/>
  </cols>
  <sheetData>
    <row r="1" ht="14.25" customHeight="1">
      <c r="A1" s="4" t="s">
        <v>115</v>
      </c>
      <c r="G1" s="7" t="s">
        <v>116</v>
      </c>
    </row>
    <row r="2" ht="14.25" customHeight="1">
      <c r="A2" s="4" t="s">
        <v>117</v>
      </c>
    </row>
    <row r="3" ht="14.25" customHeight="1">
      <c r="A3" s="4" t="s">
        <v>118</v>
      </c>
      <c r="B3" s="89" t="s">
        <v>119</v>
      </c>
      <c r="C3" s="4" t="s">
        <v>120</v>
      </c>
      <c r="D3" s="89" t="s">
        <v>121</v>
      </c>
      <c r="E3" s="4">
        <v>1960.0</v>
      </c>
      <c r="F3" s="4">
        <v>1961.0</v>
      </c>
      <c r="G3" s="4">
        <v>1962.0</v>
      </c>
      <c r="H3" s="4">
        <v>1963.0</v>
      </c>
      <c r="I3" s="4">
        <v>1964.0</v>
      </c>
      <c r="J3" s="4">
        <v>1965.0</v>
      </c>
      <c r="K3" s="4">
        <v>1966.0</v>
      </c>
      <c r="L3" s="4">
        <v>1967.0</v>
      </c>
      <c r="M3" s="4">
        <v>1968.0</v>
      </c>
      <c r="N3" s="4">
        <v>1969.0</v>
      </c>
      <c r="O3" s="4">
        <v>1970.0</v>
      </c>
      <c r="P3" s="4">
        <v>1971.0</v>
      </c>
      <c r="Q3" s="4">
        <v>1972.0</v>
      </c>
      <c r="R3" s="4">
        <v>1973.0</v>
      </c>
      <c r="S3" s="4">
        <v>1974.0</v>
      </c>
      <c r="T3" s="4">
        <v>1975.0</v>
      </c>
      <c r="U3" s="4">
        <v>1976.0</v>
      </c>
      <c r="V3" s="4">
        <v>1977.0</v>
      </c>
      <c r="W3" s="4">
        <v>1978.0</v>
      </c>
      <c r="X3" s="4">
        <v>1979.0</v>
      </c>
      <c r="Y3" s="4">
        <v>1980.0</v>
      </c>
      <c r="Z3" s="4">
        <v>1981.0</v>
      </c>
      <c r="AA3" s="4">
        <v>1982.0</v>
      </c>
      <c r="AB3" s="4">
        <v>1983.0</v>
      </c>
      <c r="AC3" s="4">
        <v>1984.0</v>
      </c>
      <c r="AD3" s="4">
        <v>1985.0</v>
      </c>
      <c r="AE3" s="4">
        <v>1986.0</v>
      </c>
      <c r="AF3" s="4">
        <v>1987.0</v>
      </c>
      <c r="AG3" s="4">
        <v>1988.0</v>
      </c>
      <c r="AH3" s="4">
        <v>1989.0</v>
      </c>
      <c r="AI3" s="4">
        <v>1990.0</v>
      </c>
      <c r="AJ3" s="4">
        <v>1991.0</v>
      </c>
      <c r="AK3" s="4">
        <v>1992.0</v>
      </c>
      <c r="AL3" s="4">
        <v>1993.0</v>
      </c>
      <c r="AM3" s="4">
        <v>1994.0</v>
      </c>
      <c r="AN3" s="4">
        <v>1995.0</v>
      </c>
      <c r="AO3" s="4">
        <v>1996.0</v>
      </c>
      <c r="AP3" s="4">
        <v>1997.0</v>
      </c>
      <c r="AQ3" s="4">
        <v>1998.0</v>
      </c>
      <c r="AR3" s="4">
        <v>1999.0</v>
      </c>
      <c r="AS3" s="4">
        <v>2000.0</v>
      </c>
      <c r="AT3" s="4">
        <v>2001.0</v>
      </c>
      <c r="AU3" s="4">
        <v>2002.0</v>
      </c>
      <c r="AV3" s="4">
        <v>2003.0</v>
      </c>
      <c r="AW3" s="4">
        <v>2004.0</v>
      </c>
      <c r="AX3" s="4">
        <v>2005.0</v>
      </c>
      <c r="AY3" s="4">
        <v>2006.0</v>
      </c>
      <c r="AZ3" s="4">
        <v>2007.0</v>
      </c>
      <c r="BA3" s="4">
        <v>2008.0</v>
      </c>
      <c r="BB3" s="4">
        <v>2009.0</v>
      </c>
      <c r="BC3" s="4">
        <v>2010.0</v>
      </c>
      <c r="BD3" s="4">
        <v>2011.0</v>
      </c>
      <c r="BE3" s="4">
        <v>2012.0</v>
      </c>
      <c r="BF3" s="4">
        <v>2013.0</v>
      </c>
      <c r="BG3" s="4">
        <v>2014.0</v>
      </c>
      <c r="BH3" s="4">
        <v>2015.0</v>
      </c>
      <c r="BI3" s="4">
        <v>2016.0</v>
      </c>
      <c r="BJ3" s="4">
        <v>2017.0</v>
      </c>
      <c r="BK3" s="4">
        <v>2018.0</v>
      </c>
      <c r="BL3" s="4">
        <v>2019.0</v>
      </c>
      <c r="BM3" s="4">
        <v>2020.0</v>
      </c>
    </row>
    <row r="4" ht="14.25" customHeight="1">
      <c r="A4" s="4" t="s">
        <v>122</v>
      </c>
      <c r="B4" s="89" t="s">
        <v>123</v>
      </c>
      <c r="C4" s="4" t="s">
        <v>84</v>
      </c>
      <c r="D4" s="89" t="s">
        <v>124</v>
      </c>
      <c r="E4" s="4" t="s">
        <v>125</v>
      </c>
      <c r="F4" s="90">
        <v>4.980111849138396</v>
      </c>
      <c r="G4" s="90">
        <v>6.843469985235856</v>
      </c>
      <c r="H4" s="90">
        <v>6.233679952091791</v>
      </c>
      <c r="I4" s="90">
        <v>6.652099507600724</v>
      </c>
      <c r="J4" s="90">
        <v>4.861507695806381</v>
      </c>
      <c r="K4" s="90">
        <v>5.251837045660864</v>
      </c>
      <c r="L4" s="90">
        <v>4.921148915284633</v>
      </c>
      <c r="M4" s="90">
        <v>4.491308885790062</v>
      </c>
      <c r="N4" s="90">
        <v>7.109475344852356</v>
      </c>
      <c r="O4" s="90">
        <v>6.10867981285152</v>
      </c>
      <c r="P4" s="90">
        <v>5.31671589688149</v>
      </c>
      <c r="Q4" s="90">
        <v>4.5113740186173885</v>
      </c>
      <c r="R4" s="90">
        <v>6.3445806746978946</v>
      </c>
      <c r="S4" s="90">
        <v>4.300919143082837</v>
      </c>
      <c r="T4" s="90">
        <v>-0.9598847462230964</v>
      </c>
      <c r="U4" s="90">
        <v>4.356758902768362</v>
      </c>
      <c r="V4" s="90">
        <v>3.4643120042878763</v>
      </c>
      <c r="W4" s="90">
        <v>3.9785437223583813</v>
      </c>
      <c r="X4" s="90">
        <v>3.549989156692419</v>
      </c>
      <c r="Y4" s="90">
        <v>1.578745259905844</v>
      </c>
      <c r="Z4" s="90">
        <v>1.0690198385372724</v>
      </c>
      <c r="AA4" s="90">
        <v>2.5053966163757906</v>
      </c>
      <c r="AB4" s="90">
        <v>1.2408648621155862</v>
      </c>
      <c r="AC4" s="90">
        <v>1.5137216034431589</v>
      </c>
      <c r="AD4" s="90">
        <v>1.6227813671579412</v>
      </c>
      <c r="AE4" s="90">
        <v>2.3372763497996942</v>
      </c>
      <c r="AF4" s="90">
        <v>2.561900334501189</v>
      </c>
      <c r="AG4" s="90">
        <v>4.743142193564836</v>
      </c>
      <c r="AH4" s="90">
        <v>4.343861062676126</v>
      </c>
      <c r="AI4" s="90">
        <v>2.923935081230738</v>
      </c>
      <c r="AJ4" s="90">
        <v>1.048175847044348</v>
      </c>
      <c r="AK4" s="90">
        <v>1.5993426768712737</v>
      </c>
      <c r="AL4" s="90">
        <v>-0.6286663519054372</v>
      </c>
      <c r="AM4" s="90">
        <v>2.358342181118985</v>
      </c>
      <c r="AN4" s="90">
        <v>2.106695253259744</v>
      </c>
      <c r="AO4" s="90">
        <v>1.412993672500022</v>
      </c>
      <c r="AP4" s="90">
        <v>2.336296529379439</v>
      </c>
      <c r="AQ4" s="90">
        <v>3.5886594253542654</v>
      </c>
      <c r="AR4" s="90">
        <v>3.421373798824547</v>
      </c>
      <c r="AS4" s="90">
        <v>3.9236692270406337</v>
      </c>
      <c r="AT4" s="90">
        <v>1.9837214186329248</v>
      </c>
      <c r="AU4" s="90">
        <v>1.135531482146007</v>
      </c>
      <c r="AV4" s="90">
        <v>0.8231607566841177</v>
      </c>
      <c r="AW4" s="90">
        <v>2.829752928698909</v>
      </c>
      <c r="AX4" s="90">
        <v>1.663219980300795</v>
      </c>
      <c r="AY4" s="90">
        <v>2.4493236011188486</v>
      </c>
      <c r="AZ4" s="90">
        <v>2.4247362433730473</v>
      </c>
      <c r="BA4" s="90">
        <v>0.2549459601240045</v>
      </c>
      <c r="BB4" s="90">
        <v>-2.8733138284963076</v>
      </c>
      <c r="BC4" s="90">
        <v>1.9494376231266273</v>
      </c>
      <c r="BD4" s="90">
        <v>2.1927006326665435</v>
      </c>
      <c r="BE4" s="90">
        <v>0.3131347510771718</v>
      </c>
      <c r="BF4" s="90">
        <v>0.5763266747717921</v>
      </c>
      <c r="BG4" s="90">
        <v>0.9561830523715571</v>
      </c>
      <c r="BH4" s="90">
        <v>1.1129123405746952</v>
      </c>
      <c r="BI4" s="90">
        <v>1.0954644037204844</v>
      </c>
      <c r="BJ4" s="90">
        <v>2.2914199941702122</v>
      </c>
      <c r="BK4" s="90">
        <v>1.7928639271133306</v>
      </c>
      <c r="BL4" s="90">
        <v>1.508594030337946</v>
      </c>
      <c r="BM4" s="90">
        <v>-8.114907097492633</v>
      </c>
    </row>
    <row r="5" ht="14.25" customHeight="1">
      <c r="A5" s="4" t="s">
        <v>126</v>
      </c>
      <c r="B5" s="89" t="s">
        <v>127</v>
      </c>
      <c r="C5" s="4" t="s">
        <v>84</v>
      </c>
      <c r="D5" s="89" t="s">
        <v>124</v>
      </c>
      <c r="E5" s="4" t="s">
        <v>125</v>
      </c>
      <c r="F5" s="4">
        <v>3.6049010300104385</v>
      </c>
      <c r="G5" s="4">
        <v>5.3617465930297925</v>
      </c>
      <c r="H5" s="4">
        <v>4.751682079372287</v>
      </c>
      <c r="I5" s="4">
        <v>5.2483704832747975</v>
      </c>
      <c r="J5" s="4">
        <v>3.625023063372936</v>
      </c>
      <c r="K5" s="4">
        <v>4.180609920965168</v>
      </c>
      <c r="L5" s="4">
        <v>4.000543404155252</v>
      </c>
      <c r="M5" s="4">
        <v>3.6751535813292833</v>
      </c>
      <c r="N5" s="4">
        <v>6.306959748246726</v>
      </c>
      <c r="O5" s="4">
        <v>5.300139907158055</v>
      </c>
      <c r="P5" s="4">
        <v>4.485036455851144</v>
      </c>
      <c r="Q5" s="4">
        <v>3.676300972614726</v>
      </c>
      <c r="R5" s="4">
        <v>5.515947182256184</v>
      </c>
      <c r="S5" s="4">
        <v>3.5526248295084457</v>
      </c>
      <c r="T5" s="4">
        <v>-1.5827121995651083</v>
      </c>
      <c r="U5" s="4">
        <v>3.8012105879974882</v>
      </c>
      <c r="V5" s="4">
        <v>2.993838261028813</v>
      </c>
      <c r="W5" s="4">
        <v>3.552383122440773</v>
      </c>
      <c r="X5" s="4">
        <v>3.125276098091746</v>
      </c>
      <c r="Y5" s="4">
        <v>1.1286878676857839</v>
      </c>
      <c r="Z5" s="4">
        <v>0.5789606271444683</v>
      </c>
      <c r="AA5" s="4">
        <v>1.9743489546995932</v>
      </c>
      <c r="AB5" s="4">
        <v>0.6899958954984129</v>
      </c>
      <c r="AC5" s="4">
        <v>0.9481115172740147</v>
      </c>
      <c r="AD5" s="4">
        <v>1.054121301439011</v>
      </c>
      <c r="AE5" s="4">
        <v>1.7599546418236116</v>
      </c>
      <c r="AF5" s="4">
        <v>1.9774927002140998</v>
      </c>
      <c r="AG5" s="4">
        <v>4.15339578345197</v>
      </c>
      <c r="AH5" s="4">
        <v>3.7800153552822735</v>
      </c>
      <c r="AI5" s="4">
        <v>2.4016478215806814</v>
      </c>
      <c r="AJ5" s="4">
        <v>0.4897935347313336</v>
      </c>
      <c r="AK5" s="4">
        <v>1.095401359451813</v>
      </c>
      <c r="AL5" s="4">
        <v>-1.0582881109452558</v>
      </c>
      <c r="AM5" s="4">
        <v>1.9780094219951536</v>
      </c>
      <c r="AN5" s="4">
        <v>1.738505551135745</v>
      </c>
      <c r="AO5" s="4">
        <v>1.0545601629606551</v>
      </c>
      <c r="AP5" s="4">
        <v>1.9749297503878864</v>
      </c>
      <c r="AQ5" s="4">
        <v>3.207526350098618</v>
      </c>
      <c r="AR5" s="4">
        <v>2.8906924179446776</v>
      </c>
      <c r="AS5" s="4">
        <v>3.2142806733735085</v>
      </c>
      <c r="AT5" s="4">
        <v>1.2441888199049629</v>
      </c>
      <c r="AU5" s="4">
        <v>0.4027148058813026</v>
      </c>
      <c r="AV5" s="4">
        <v>0.11108173921489595</v>
      </c>
      <c r="AW5" s="4">
        <v>2.0753645951296846</v>
      </c>
      <c r="AX5" s="4">
        <v>0.8997645402714056</v>
      </c>
      <c r="AY5" s="4">
        <v>1.7375400329959803</v>
      </c>
      <c r="AZ5" s="4">
        <v>1.7929822112206608</v>
      </c>
      <c r="BA5" s="4">
        <v>-0.3037596570550818</v>
      </c>
      <c r="BB5" s="4">
        <v>-3.371737205542786</v>
      </c>
      <c r="BC5" s="4">
        <v>1.4470081315586754</v>
      </c>
      <c r="BD5" s="4">
        <v>1.699612965008697</v>
      </c>
      <c r="BE5" s="4">
        <v>-0.17120672976315632</v>
      </c>
      <c r="BF5" s="4">
        <v>0.059916379678682574</v>
      </c>
      <c r="BG5" s="4">
        <v>0.47907757234904125</v>
      </c>
      <c r="BH5" s="4">
        <v>0.7540243523275194</v>
      </c>
      <c r="BI5" s="4">
        <v>0.8290566645167416</v>
      </c>
      <c r="BJ5" s="4">
        <v>1.9949984473344102</v>
      </c>
      <c r="BK5" s="4">
        <v>1.5138745507297529</v>
      </c>
      <c r="BL5" s="4">
        <v>1.2867115680353436</v>
      </c>
      <c r="BM5" s="4">
        <v>-8.30941150626434</v>
      </c>
    </row>
    <row r="6" ht="14.25" customHeight="1">
      <c r="A6" s="4" t="s">
        <v>128</v>
      </c>
      <c r="B6" s="89" t="s">
        <v>129</v>
      </c>
      <c r="C6" s="4" t="s">
        <v>84</v>
      </c>
      <c r="D6" s="89" t="s">
        <v>124</v>
      </c>
      <c r="E6" s="4">
        <v>6.222547800088224E10</v>
      </c>
      <c r="F6" s="4">
        <v>6.746164422203518E10</v>
      </c>
      <c r="G6" s="4">
        <v>7.560752980992879E10</v>
      </c>
      <c r="H6" s="4">
        <v>8.475919510586928E10</v>
      </c>
      <c r="I6" s="4">
        <v>9.400785104736778E10</v>
      </c>
      <c r="J6" s="4">
        <v>1.0153724814842683E11</v>
      </c>
      <c r="K6" s="4">
        <v>1.1004585217792784E11</v>
      </c>
      <c r="L6" s="4">
        <v>1.189729774862066E11</v>
      </c>
      <c r="M6" s="4">
        <v>1.2978544150745569E11</v>
      </c>
      <c r="N6" s="4">
        <v>1.419030686803094E11</v>
      </c>
      <c r="O6" s="4">
        <v>1.4845635998582733E11</v>
      </c>
      <c r="P6" s="4">
        <v>1.6596661536640228E11</v>
      </c>
      <c r="Q6" s="4">
        <v>2.0349414824447333E11</v>
      </c>
      <c r="R6" s="4">
        <v>2.644298762522098E11</v>
      </c>
      <c r="S6" s="4">
        <v>2.8555237315875616E11</v>
      </c>
      <c r="T6" s="4">
        <v>3.6083218601805115E11</v>
      </c>
      <c r="U6" s="4">
        <v>3.723190385140672E11</v>
      </c>
      <c r="V6" s="4">
        <v>4.102794864937149E11</v>
      </c>
      <c r="W6" s="4">
        <v>5.0670784883720935E11</v>
      </c>
      <c r="X6" s="4">
        <v>6.139531298180697E11</v>
      </c>
      <c r="Y6" s="4">
        <v>7.012884197454207E11</v>
      </c>
      <c r="Z6" s="4">
        <v>6.155522027761013E11</v>
      </c>
      <c r="AA6" s="4">
        <v>5.848777323086136E11</v>
      </c>
      <c r="AB6" s="4">
        <v>5.598691797917205E11</v>
      </c>
      <c r="AC6" s="4">
        <v>5.306837799294453E11</v>
      </c>
      <c r="AD6" s="4">
        <v>5.531384143670609E11</v>
      </c>
      <c r="AE6" s="4">
        <v>7.714707832181078E11</v>
      </c>
      <c r="AF6" s="4">
        <v>9.341733056859108E11</v>
      </c>
      <c r="AG6" s="4">
        <v>1.0188470432771721E12</v>
      </c>
      <c r="AH6" s="4">
        <v>1.0252118034135308E12</v>
      </c>
      <c r="AI6" s="4">
        <v>1.269179616913625E12</v>
      </c>
      <c r="AJ6" s="4">
        <v>1.269276828275782E12</v>
      </c>
      <c r="AK6" s="4">
        <v>1.4014659231722427E12</v>
      </c>
      <c r="AL6" s="4">
        <v>1.3228156126940005E12</v>
      </c>
      <c r="AM6" s="4">
        <v>1.3939827504725898E12</v>
      </c>
      <c r="AN6" s="4">
        <v>1.6010947562097515E12</v>
      </c>
      <c r="AO6" s="4">
        <v>1.6056750865495576E12</v>
      </c>
      <c r="AP6" s="4">
        <v>1.4528849179590918E12</v>
      </c>
      <c r="AQ6" s="4">
        <v>1.5031087391594397E12</v>
      </c>
      <c r="AR6" s="4">
        <v>1.4926475601960366E12</v>
      </c>
      <c r="AS6" s="4">
        <v>1.3622489404827715E12</v>
      </c>
      <c r="AT6" s="4">
        <v>1.3764653243847876E12</v>
      </c>
      <c r="AU6" s="4">
        <v>1.4942866553736118E12</v>
      </c>
      <c r="AV6" s="4">
        <v>1.8404808126410835E12</v>
      </c>
      <c r="AW6" s="4">
        <v>2.115742488204619E12</v>
      </c>
      <c r="AX6" s="4">
        <v>2.1961261037184429E12</v>
      </c>
      <c r="AY6" s="4">
        <v>2.318593651988458E12</v>
      </c>
      <c r="AZ6" s="4">
        <v>2.657213249384068E12</v>
      </c>
      <c r="BA6" s="4">
        <v>2.918382891460378E12</v>
      </c>
      <c r="BB6" s="4">
        <v>2.690222283967769E12</v>
      </c>
      <c r="BC6" s="4">
        <v>2.642609548930356E12</v>
      </c>
      <c r="BD6" s="4">
        <v>2.861408170264605E12</v>
      </c>
      <c r="BE6" s="4">
        <v>2.6838252250926284E12</v>
      </c>
      <c r="BF6" s="4">
        <v>2.8110777257035894E12</v>
      </c>
      <c r="BG6" s="4">
        <v>2.8521657606302666E12</v>
      </c>
      <c r="BH6" s="4">
        <v>2.4382078962518413E12</v>
      </c>
      <c r="BI6" s="4">
        <v>2.4712856070817163E12</v>
      </c>
      <c r="BJ6" s="4">
        <v>2.5887409016398096E12</v>
      </c>
      <c r="BK6" s="4">
        <v>2.7865025695597725E12</v>
      </c>
      <c r="BL6" s="4">
        <v>2.715518274227447E12</v>
      </c>
      <c r="BM6" s="4">
        <v>2.6030043959019526E12</v>
      </c>
    </row>
    <row r="7" ht="14.25" customHeight="1">
      <c r="A7" s="4" t="s">
        <v>130</v>
      </c>
      <c r="B7" s="89" t="s">
        <v>131</v>
      </c>
      <c r="C7" s="4" t="s">
        <v>84</v>
      </c>
      <c r="D7" s="89" t="s">
        <v>124</v>
      </c>
      <c r="E7" s="4" t="s">
        <v>125</v>
      </c>
      <c r="F7" s="4" t="s">
        <v>125</v>
      </c>
      <c r="G7" s="4" t="s">
        <v>125</v>
      </c>
      <c r="H7" s="4" t="s">
        <v>125</v>
      </c>
      <c r="I7" s="4" t="s">
        <v>125</v>
      </c>
      <c r="J7" s="4" t="s">
        <v>125</v>
      </c>
      <c r="K7" s="4" t="s">
        <v>125</v>
      </c>
      <c r="L7" s="4" t="s">
        <v>125</v>
      </c>
      <c r="M7" s="4" t="s">
        <v>125</v>
      </c>
      <c r="N7" s="4" t="s">
        <v>125</v>
      </c>
      <c r="O7" s="4" t="s">
        <v>125</v>
      </c>
      <c r="P7" s="4" t="s">
        <v>125</v>
      </c>
      <c r="Q7" s="4" t="s">
        <v>125</v>
      </c>
      <c r="R7" s="4" t="s">
        <v>125</v>
      </c>
      <c r="S7" s="4" t="s">
        <v>125</v>
      </c>
      <c r="T7" s="4" t="s">
        <v>125</v>
      </c>
      <c r="U7" s="4" t="s">
        <v>125</v>
      </c>
      <c r="V7" s="4" t="s">
        <v>125</v>
      </c>
      <c r="W7" s="4" t="s">
        <v>125</v>
      </c>
      <c r="X7" s="4" t="s">
        <v>125</v>
      </c>
      <c r="Y7" s="4" t="s">
        <v>125</v>
      </c>
      <c r="Z7" s="4" t="s">
        <v>125</v>
      </c>
      <c r="AA7" s="4" t="s">
        <v>125</v>
      </c>
      <c r="AB7" s="4" t="s">
        <v>125</v>
      </c>
      <c r="AC7" s="4" t="s">
        <v>125</v>
      </c>
      <c r="AD7" s="4" t="s">
        <v>125</v>
      </c>
      <c r="AE7" s="4" t="s">
        <v>125</v>
      </c>
      <c r="AF7" s="4" t="s">
        <v>125</v>
      </c>
      <c r="AG7" s="4" t="s">
        <v>125</v>
      </c>
      <c r="AH7" s="4" t="s">
        <v>125</v>
      </c>
      <c r="AI7" s="4">
        <v>1.9644079997617874E12</v>
      </c>
      <c r="AJ7" s="4">
        <v>1.9849984499526973E12</v>
      </c>
      <c r="AK7" s="4">
        <v>2.016745377298024E12</v>
      </c>
      <c r="AL7" s="4">
        <v>2.004066777707343E12</v>
      </c>
      <c r="AM7" s="4">
        <v>2.0513295298638074E12</v>
      </c>
      <c r="AN7" s="4">
        <v>2.0945447916981636E12</v>
      </c>
      <c r="AO7" s="4">
        <v>2.1241405770725376E12</v>
      </c>
      <c r="AP7" s="4">
        <v>2.1737667996538235E12</v>
      </c>
      <c r="AQ7" s="4">
        <v>2.2517758867948223E12</v>
      </c>
      <c r="AR7" s="4">
        <v>2.328817556993869E12</v>
      </c>
      <c r="AS7" s="4">
        <v>2.420192654831557E12</v>
      </c>
      <c r="AT7" s="4">
        <v>2.4682025348976313E12</v>
      </c>
      <c r="AU7" s="4">
        <v>2.49622975172452E12</v>
      </c>
      <c r="AV7" s="4">
        <v>2.5167777354373896E12</v>
      </c>
      <c r="AW7" s="4">
        <v>2.5879963271147715E12</v>
      </c>
      <c r="AX7" s="4">
        <v>2.6310403991167944E12</v>
      </c>
      <c r="AY7" s="4">
        <v>2.6954830925673335E12</v>
      </c>
      <c r="AZ7" s="4">
        <v>2.760841448046806E12</v>
      </c>
      <c r="BA7" s="4">
        <v>2.7678801017840312E12</v>
      </c>
      <c r="BB7" s="4">
        <v>2.688350220063273E12</v>
      </c>
      <c r="BC7" s="4">
        <v>2.7407579306945938E12</v>
      </c>
      <c r="BD7" s="4">
        <v>2.800854547180793E12</v>
      </c>
      <c r="BE7" s="4">
        <v>2.809624996095141E12</v>
      </c>
      <c r="BF7" s="4">
        <v>2.8258176144086934E12</v>
      </c>
      <c r="BG7" s="4">
        <v>2.852837603528599E12</v>
      </c>
      <c r="BH7" s="4">
        <v>2.884587185274824E12</v>
      </c>
      <c r="BI7" s="4">
        <v>2.9161868110837925E12</v>
      </c>
      <c r="BJ7" s="4">
        <v>2.983008898740321E12</v>
      </c>
      <c r="BK7" s="4">
        <v>3.0364901892284165E12</v>
      </c>
      <c r="BL7" s="4">
        <v>3.0822984989549136E12</v>
      </c>
      <c r="BM7" s="4">
        <v>2.8321728392973125E12</v>
      </c>
    </row>
    <row r="8" ht="14.25" customHeight="1">
      <c r="A8" s="4" t="s">
        <v>132</v>
      </c>
      <c r="B8" s="89" t="s">
        <v>133</v>
      </c>
      <c r="C8" s="4" t="s">
        <v>84</v>
      </c>
      <c r="D8" s="89" t="s">
        <v>124</v>
      </c>
      <c r="E8" s="4" t="s">
        <v>125</v>
      </c>
      <c r="F8" s="4" t="s">
        <v>125</v>
      </c>
      <c r="G8" s="4" t="s">
        <v>125</v>
      </c>
      <c r="H8" s="4" t="s">
        <v>125</v>
      </c>
      <c r="I8" s="4" t="s">
        <v>125</v>
      </c>
      <c r="J8" s="4" t="s">
        <v>125</v>
      </c>
      <c r="K8" s="4" t="s">
        <v>125</v>
      </c>
      <c r="L8" s="4" t="s">
        <v>125</v>
      </c>
      <c r="M8" s="4" t="s">
        <v>125</v>
      </c>
      <c r="N8" s="4" t="s">
        <v>125</v>
      </c>
      <c r="O8" s="4" t="s">
        <v>125</v>
      </c>
      <c r="P8" s="4" t="s">
        <v>125</v>
      </c>
      <c r="Q8" s="4" t="s">
        <v>125</v>
      </c>
      <c r="R8" s="4" t="s">
        <v>125</v>
      </c>
      <c r="S8" s="4" t="s">
        <v>125</v>
      </c>
      <c r="T8" s="4" t="s">
        <v>125</v>
      </c>
      <c r="U8" s="4" t="s">
        <v>125</v>
      </c>
      <c r="V8" s="4" t="s">
        <v>125</v>
      </c>
      <c r="W8" s="4" t="s">
        <v>125</v>
      </c>
      <c r="X8" s="4" t="s">
        <v>125</v>
      </c>
      <c r="Y8" s="4" t="s">
        <v>125</v>
      </c>
      <c r="Z8" s="4" t="s">
        <v>125</v>
      </c>
      <c r="AA8" s="4" t="s">
        <v>125</v>
      </c>
      <c r="AB8" s="4" t="s">
        <v>125</v>
      </c>
      <c r="AC8" s="4" t="s">
        <v>125</v>
      </c>
      <c r="AD8" s="4" t="s">
        <v>125</v>
      </c>
      <c r="AE8" s="4" t="s">
        <v>125</v>
      </c>
      <c r="AF8" s="4" t="s">
        <v>125</v>
      </c>
      <c r="AG8" s="4" t="s">
        <v>125</v>
      </c>
      <c r="AH8" s="4" t="s">
        <v>125</v>
      </c>
      <c r="AI8" s="4">
        <v>1.0254676697349862E12</v>
      </c>
      <c r="AJ8" s="4">
        <v>1.0712579004540338E12</v>
      </c>
      <c r="AK8" s="4">
        <v>1.1131952530514902E12</v>
      </c>
      <c r="AL8" s="4">
        <v>1.1324052279546055E12</v>
      </c>
      <c r="AM8" s="4">
        <v>1.1838625360591997E12</v>
      </c>
      <c r="AN8" s="4">
        <v>1.2341503441778481E12</v>
      </c>
      <c r="AO8" s="4">
        <v>1.2731145234357844E12</v>
      </c>
      <c r="AP8" s="4">
        <v>1.3333769961559526E12</v>
      </c>
      <c r="AQ8" s="4">
        <v>1.4058613955287673E12</v>
      </c>
      <c r="AR8" s="4">
        <v>1.4705238994417043E12</v>
      </c>
      <c r="AS8" s="4">
        <v>1.5899361803938857E12</v>
      </c>
      <c r="AT8" s="4">
        <v>1.6874480283120913E12</v>
      </c>
      <c r="AU8" s="4">
        <v>1.7629263732432678E12</v>
      </c>
      <c r="AV8" s="4">
        <v>1.7517975448325352E12</v>
      </c>
      <c r="AW8" s="4">
        <v>1.8207237509910225E12</v>
      </c>
      <c r="AX8" s="4">
        <v>1.9268804462397622E12</v>
      </c>
      <c r="AY8" s="4">
        <v>2.0629309979171458E12</v>
      </c>
      <c r="AZ8" s="4">
        <v>2.1816686164312903E12</v>
      </c>
      <c r="BA8" s="4">
        <v>2.2592569913615776E12</v>
      </c>
      <c r="BB8" s="4">
        <v>2.2455669574676084E12</v>
      </c>
      <c r="BC8" s="4">
        <v>2.336458699266962E12</v>
      </c>
      <c r="BD8" s="4">
        <v>2.446475413050997E12</v>
      </c>
      <c r="BE8" s="4">
        <v>2.4740039393533823E12</v>
      </c>
      <c r="BF8" s="4">
        <v>2.608522466158151E12</v>
      </c>
      <c r="BG8" s="4">
        <v>2.6620333966925264E12</v>
      </c>
      <c r="BH8" s="4">
        <v>2.718496736713763E12</v>
      </c>
      <c r="BI8" s="4">
        <v>2.8641063837424434E12</v>
      </c>
      <c r="BJ8" s="4">
        <v>2.983008898740321E12</v>
      </c>
      <c r="BK8" s="4">
        <v>3.124871103486527E12</v>
      </c>
      <c r="BL8" s="4">
        <v>3.3205587314102983E12</v>
      </c>
      <c r="BM8" s="4">
        <v>3.1153073276356885E12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1" width="9.38"/>
  </cols>
  <sheetData>
    <row r="1" ht="14.25" customHeight="1"/>
    <row r="2" ht="14.25" customHeight="1">
      <c r="B2" s="29">
        <v>1948.0</v>
      </c>
      <c r="C2" s="29">
        <v>1949.0</v>
      </c>
      <c r="D2" s="29">
        <v>1950.0</v>
      </c>
      <c r="E2" s="29">
        <v>1951.0</v>
      </c>
      <c r="F2" s="29">
        <v>1952.0</v>
      </c>
      <c r="G2" s="29">
        <v>1953.0</v>
      </c>
      <c r="H2" s="29">
        <v>1954.0</v>
      </c>
      <c r="I2" s="29">
        <v>1955.0</v>
      </c>
      <c r="J2" s="29">
        <v>1956.0</v>
      </c>
      <c r="K2" s="29">
        <v>1957.0</v>
      </c>
      <c r="L2" s="29">
        <v>1958.0</v>
      </c>
      <c r="M2" s="29">
        <v>1959.0</v>
      </c>
      <c r="N2" s="29">
        <v>1960.0</v>
      </c>
      <c r="O2" s="29">
        <v>1961.0</v>
      </c>
      <c r="P2" s="29">
        <v>1962.0</v>
      </c>
      <c r="Q2" s="29">
        <v>1963.0</v>
      </c>
      <c r="R2" s="29">
        <v>1964.0</v>
      </c>
      <c r="S2" s="29">
        <v>1965.0</v>
      </c>
      <c r="T2" s="29">
        <v>1966.0</v>
      </c>
      <c r="U2" s="29">
        <v>1967.0</v>
      </c>
      <c r="V2" s="29">
        <v>1968.0</v>
      </c>
      <c r="W2" s="29">
        <v>1969.0</v>
      </c>
      <c r="X2" s="29">
        <v>1970.0</v>
      </c>
      <c r="Y2" s="29">
        <v>1971.0</v>
      </c>
      <c r="Z2" s="29">
        <v>1972.0</v>
      </c>
      <c r="AA2" s="29">
        <v>1973.0</v>
      </c>
      <c r="AB2" s="29">
        <v>1974.0</v>
      </c>
      <c r="AC2" s="29">
        <v>1975.0</v>
      </c>
      <c r="AD2" s="29">
        <v>1976.0</v>
      </c>
      <c r="AE2" s="29">
        <v>1977.0</v>
      </c>
      <c r="AF2" s="29">
        <v>1978.0</v>
      </c>
      <c r="AG2" s="29">
        <v>1979.0</v>
      </c>
      <c r="AH2" s="29">
        <v>1980.0</v>
      </c>
      <c r="AI2" s="29">
        <v>1981.0</v>
      </c>
      <c r="AJ2" s="29">
        <v>1982.0</v>
      </c>
      <c r="AK2" s="29">
        <v>1983.0</v>
      </c>
      <c r="AL2" s="29">
        <v>1984.0</v>
      </c>
      <c r="AM2" s="29">
        <v>1985.0</v>
      </c>
      <c r="AN2" s="29">
        <v>1986.0</v>
      </c>
      <c r="AO2" s="29">
        <v>1987.0</v>
      </c>
      <c r="AP2" s="29">
        <v>1988.0</v>
      </c>
      <c r="AQ2" s="29">
        <v>1989.0</v>
      </c>
      <c r="AR2" s="29">
        <v>1990.0</v>
      </c>
      <c r="AS2" s="29">
        <v>1991.0</v>
      </c>
      <c r="AT2" s="29">
        <v>1992.0</v>
      </c>
      <c r="AU2" s="29">
        <v>1993.0</v>
      </c>
      <c r="AV2" s="29">
        <v>1994.0</v>
      </c>
      <c r="AW2" s="29">
        <v>1995.0</v>
      </c>
      <c r="AX2" s="29">
        <v>1996.0</v>
      </c>
      <c r="AY2" s="29">
        <v>1997.0</v>
      </c>
      <c r="AZ2" s="29">
        <v>1998.0</v>
      </c>
      <c r="BA2" s="29">
        <v>1999.0</v>
      </c>
      <c r="BB2" s="29">
        <v>2000.0</v>
      </c>
      <c r="BC2" s="29">
        <v>2001.0</v>
      </c>
      <c r="BD2" s="29">
        <v>2002.0</v>
      </c>
      <c r="BE2" s="29">
        <v>2003.0</v>
      </c>
      <c r="BF2" s="29">
        <v>2004.0</v>
      </c>
      <c r="BG2" s="29">
        <v>2005.0</v>
      </c>
      <c r="BH2" s="29">
        <v>2006.0</v>
      </c>
      <c r="BI2" s="29">
        <v>2007.0</v>
      </c>
      <c r="BJ2" s="29">
        <v>2008.0</v>
      </c>
      <c r="BK2" s="29">
        <v>2009.0</v>
      </c>
      <c r="BL2" s="29">
        <v>2010.0</v>
      </c>
      <c r="BM2" s="29">
        <v>2011.0</v>
      </c>
      <c r="BN2" s="29">
        <v>2012.0</v>
      </c>
      <c r="BO2" s="29">
        <v>2013.0</v>
      </c>
      <c r="BP2" s="29">
        <v>2014.0</v>
      </c>
      <c r="BQ2" s="29">
        <v>2015.0</v>
      </c>
      <c r="BR2" s="29">
        <v>2016.0</v>
      </c>
      <c r="BS2" s="29">
        <v>2017.0</v>
      </c>
      <c r="BT2" s="29">
        <v>2018.0</v>
      </c>
      <c r="BU2" s="29">
        <v>2019.0</v>
      </c>
      <c r="BV2" s="29">
        <v>2020.0</v>
      </c>
      <c r="BW2" s="29">
        <v>2021.0</v>
      </c>
      <c r="BX2" s="29">
        <v>2022.0</v>
      </c>
      <c r="BY2" s="29">
        <v>2023.0</v>
      </c>
      <c r="BZ2" s="29">
        <v>2024.0</v>
      </c>
      <c r="CA2" s="29">
        <v>2025.0</v>
      </c>
      <c r="CB2" s="29">
        <v>2026.0</v>
      </c>
      <c r="CC2" s="29">
        <v>2027.0</v>
      </c>
    </row>
    <row r="3" ht="14.25" customHeight="1">
      <c r="A3" s="5" t="s">
        <v>1</v>
      </c>
      <c r="B3" s="5">
        <v>0.07296137339055796</v>
      </c>
      <c r="C3" s="5">
        <v>0.13600000000000004</v>
      </c>
      <c r="D3" s="5">
        <v>0.07465659211447352</v>
      </c>
      <c r="E3" s="5">
        <v>0.061598606752172415</v>
      </c>
      <c r="F3" s="5">
        <v>0.02654288814648359</v>
      </c>
      <c r="G3" s="5">
        <v>0.028865481694806627</v>
      </c>
      <c r="H3" s="5">
        <v>0.048506813686428854</v>
      </c>
      <c r="I3" s="5">
        <v>0.057415658816040736</v>
      </c>
      <c r="J3" s="5">
        <v>0.05060598763945742</v>
      </c>
      <c r="K3" s="5">
        <v>0.060211342193083287</v>
      </c>
      <c r="L3" s="5">
        <v>0.025082867137448086</v>
      </c>
      <c r="M3" s="5">
        <v>0.028622917505415922</v>
      </c>
      <c r="N3" s="5">
        <v>0.07046694250816964</v>
      </c>
      <c r="O3" s="5">
        <v>0.05555571676885978</v>
      </c>
      <c r="P3" s="5">
        <v>0.066481743156089</v>
      </c>
      <c r="Q3" s="5">
        <v>0.051949156692968186</v>
      </c>
      <c r="R3" s="5">
        <v>0.06666666666666667</v>
      </c>
      <c r="S3" s="5">
        <v>0.0486106006028082</v>
      </c>
      <c r="T3" s="5">
        <v>0.0507715968242284</v>
      </c>
      <c r="U3" s="5">
        <v>0.04621886408509875</v>
      </c>
      <c r="V3" s="5">
        <v>0.044177050970607756</v>
      </c>
      <c r="W3" s="5">
        <v>0.06930398288441829</v>
      </c>
      <c r="X3" s="5">
        <v>0.057308845577211394</v>
      </c>
      <c r="Y3" s="5">
        <v>0.04839050016121164</v>
      </c>
      <c r="Z3" s="5">
        <v>0.0444614406131502</v>
      </c>
      <c r="AA3" s="5">
        <v>0.05441458496488188</v>
      </c>
      <c r="AB3" s="5">
        <v>0.02930997931180689</v>
      </c>
      <c r="AC3" s="5">
        <v>-0.006968631216513355</v>
      </c>
      <c r="AD3" s="5">
        <v>0.04322663515976118</v>
      </c>
      <c r="AE3" s="5">
        <v>0.03732075916668266</v>
      </c>
      <c r="AF3" s="5">
        <v>0.02775644541963796</v>
      </c>
      <c r="AG3" s="5">
        <v>0.032084357927011205</v>
      </c>
      <c r="AH3" s="5">
        <v>0.014046263447191308</v>
      </c>
      <c r="AI3" s="5">
        <v>0.010264659366424869</v>
      </c>
      <c r="AJ3" s="5">
        <v>0.02514365369363934</v>
      </c>
      <c r="AK3" s="5">
        <v>0.01169571908441872</v>
      </c>
      <c r="AL3" s="5">
        <v>0.014693119285422756</v>
      </c>
      <c r="AM3" s="5">
        <v>0.014023801047652952</v>
      </c>
      <c r="AN3" s="5">
        <v>0.023736328870803198</v>
      </c>
      <c r="AO3" s="5">
        <v>0.02526697167110738</v>
      </c>
      <c r="AP3" s="5">
        <v>0.04394443225726579</v>
      </c>
      <c r="AQ3" s="5">
        <v>0.04056956975388203</v>
      </c>
      <c r="AR3" s="5">
        <v>0.026197507512851326</v>
      </c>
      <c r="AS3" s="5">
        <v>0.01211021530742368</v>
      </c>
      <c r="AT3" s="5">
        <v>0.019445763714476573</v>
      </c>
      <c r="AU3" s="5">
        <v>-0.009898145807769853</v>
      </c>
      <c r="AV3" s="5">
        <v>0.02081874143137173</v>
      </c>
      <c r="AW3" s="5">
        <v>0.02354024005027817</v>
      </c>
      <c r="AX3" s="5">
        <v>0.01094483866913416</v>
      </c>
      <c r="AY3" s="5">
        <v>0.024013113328074362</v>
      </c>
      <c r="AZ3" s="5">
        <v>0.025396883452960935</v>
      </c>
      <c r="BA3" s="5">
        <v>0.03304962990157936</v>
      </c>
      <c r="BB3" s="5">
        <v>0.03912832873355816</v>
      </c>
      <c r="BC3" s="5">
        <v>0.018498687647224194</v>
      </c>
      <c r="BD3" s="5">
        <v>0.010251514410392437</v>
      </c>
      <c r="BE3" s="5">
        <v>0.011027102260299085</v>
      </c>
      <c r="BF3" s="5">
        <v>0.023710001162594634</v>
      </c>
      <c r="BG3" s="5">
        <v>0.019000251200724422</v>
      </c>
      <c r="BH3" s="5">
        <v>0.02399996457242982</v>
      </c>
      <c r="BI3" s="5">
        <v>0.022999955311901306</v>
      </c>
      <c r="BJ3" s="5">
        <v>0.003000062002220807</v>
      </c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</row>
    <row r="4" ht="14.25" customHeight="1">
      <c r="A4" s="7" t="s">
        <v>2</v>
      </c>
      <c r="D4" s="18">
        <v>8.56561745816649</v>
      </c>
      <c r="E4" s="18">
        <v>5.79152057510074</v>
      </c>
      <c r="F4" s="18">
        <v>3.11403406430019</v>
      </c>
      <c r="G4" s="18">
        <v>3.45622996112203</v>
      </c>
      <c r="H4" s="18">
        <v>5.57832021697569</v>
      </c>
      <c r="I4" s="18">
        <v>5.31187150812929</v>
      </c>
      <c r="J4" s="18">
        <v>4.98785370674778</v>
      </c>
      <c r="K4" s="18">
        <v>5.51671400223311</v>
      </c>
      <c r="L4" s="18">
        <v>2.69571385179235</v>
      </c>
      <c r="M4" s="18">
        <v>2.67142480602955</v>
      </c>
      <c r="N4" s="18">
        <v>7.99195249065767</v>
      </c>
      <c r="O4" s="18">
        <v>4.98013286549221</v>
      </c>
      <c r="P4" s="18">
        <v>6.84353498941024</v>
      </c>
      <c r="Q4" s="18">
        <v>6.23355624094208</v>
      </c>
      <c r="R4" s="18">
        <v>6.65220075230069</v>
      </c>
      <c r="S4" s="18">
        <v>4.86142661591403</v>
      </c>
      <c r="T4" s="18">
        <v>5.25183358534413</v>
      </c>
      <c r="U4" s="18">
        <v>4.92123129139564</v>
      </c>
      <c r="V4" s="18">
        <v>4.49131897030728</v>
      </c>
      <c r="W4" s="18">
        <v>7.10945009049206</v>
      </c>
      <c r="X4" s="18">
        <v>6.10867761617023</v>
      </c>
      <c r="Y4" s="18">
        <v>5.31675290605666</v>
      </c>
      <c r="Z4" s="18">
        <v>4.51137162790879</v>
      </c>
      <c r="AA4" s="18">
        <v>6.34456486486927</v>
      </c>
      <c r="AB4" s="18">
        <v>4.30084071012452</v>
      </c>
      <c r="AC4" s="18">
        <v>-0.959867329154789</v>
      </c>
      <c r="AD4" s="18">
        <v>4.3567555213389</v>
      </c>
      <c r="AE4" s="18">
        <v>3.46429235913467</v>
      </c>
      <c r="AF4" s="18">
        <v>3.97854946848446</v>
      </c>
      <c r="AG4" s="18">
        <v>3.55000037634591</v>
      </c>
      <c r="AH4" s="18">
        <v>1.57880122754374</v>
      </c>
      <c r="AI4" s="18">
        <v>1.06901275670967</v>
      </c>
      <c r="AJ4" s="18">
        <v>2.50536136560163</v>
      </c>
      <c r="AK4" s="18">
        <v>1.24085291552498</v>
      </c>
      <c r="AL4" s="18">
        <v>1.5137078700601</v>
      </c>
      <c r="AM4" s="18">
        <v>1.6228216501733</v>
      </c>
      <c r="AN4" s="18">
        <v>2.3372356023938</v>
      </c>
      <c r="AO4" s="18">
        <v>2.56190869406679</v>
      </c>
      <c r="AP4" s="18">
        <v>4.74318506127023</v>
      </c>
      <c r="AQ4" s="18">
        <v>4.34381995889572</v>
      </c>
      <c r="AR4" s="18">
        <v>2.92395174185515</v>
      </c>
      <c r="AS4" s="18">
        <v>1.0481802223058</v>
      </c>
      <c r="AT4" s="18">
        <v>1.59934649977294</v>
      </c>
      <c r="AU4" s="18">
        <v>-0.628658846908874</v>
      </c>
      <c r="AV4" s="18">
        <v>2.35837174390399</v>
      </c>
      <c r="AW4" s="18">
        <v>2.1066514052863</v>
      </c>
      <c r="AX4" s="18">
        <v>1.41299601530085</v>
      </c>
      <c r="AY4" s="18">
        <v>2.33632936675067</v>
      </c>
      <c r="AZ4" s="18">
        <v>3.5886293379514</v>
      </c>
      <c r="BA4" s="18">
        <v>3.42135235980006</v>
      </c>
      <c r="BB4" s="18">
        <v>3.92371245576191</v>
      </c>
      <c r="BC4" s="18">
        <v>1.98371211462977</v>
      </c>
      <c r="BD4" s="18">
        <v>1.13554174369233</v>
      </c>
      <c r="BE4" s="18">
        <v>0.823122997395163</v>
      </c>
      <c r="BF4" s="18">
        <v>2.82979658451117</v>
      </c>
      <c r="BG4" s="18">
        <v>1.66318213006728</v>
      </c>
      <c r="BH4" s="18">
        <v>2.44934540139417</v>
      </c>
      <c r="BI4" s="18">
        <v>2.42473978561776</v>
      </c>
      <c r="BJ4" s="18">
        <v>0.25493676773192</v>
      </c>
      <c r="BK4" s="18">
        <v>-2.87332540715448</v>
      </c>
      <c r="BL4" s="18">
        <v>1.94945890344995</v>
      </c>
      <c r="BM4" s="18">
        <v>2.19267971584139</v>
      </c>
      <c r="BN4" s="18">
        <v>0.31316447000194</v>
      </c>
      <c r="BO4" s="18">
        <v>0.576323570182615</v>
      </c>
      <c r="BP4" s="18">
        <v>0.956168723899057</v>
      </c>
      <c r="BQ4" s="18">
        <v>1.11291234158153</v>
      </c>
      <c r="BR4" s="18">
        <v>1.09546258424186</v>
      </c>
      <c r="BS4" s="18">
        <v>2.29140752391649</v>
      </c>
      <c r="BT4" s="18">
        <v>1.86509853990131</v>
      </c>
      <c r="BU4" s="18">
        <v>1.842969128839</v>
      </c>
      <c r="BV4" s="18">
        <v>-7.85526627243211</v>
      </c>
    </row>
    <row r="5" ht="14.25" customHeight="1">
      <c r="A5" s="7" t="s">
        <v>134</v>
      </c>
      <c r="O5" s="5">
        <v>0.05872127191680241</v>
      </c>
      <c r="P5" s="5">
        <v>0.09523725743887582</v>
      </c>
      <c r="Q5" s="5">
        <v>0.06890058104462474</v>
      </c>
      <c r="R5" s="5">
        <v>0.08405224048247134</v>
      </c>
      <c r="S5" s="5">
        <v>0.08070932082148556</v>
      </c>
      <c r="T5" s="5">
        <v>0.09007592768371353</v>
      </c>
      <c r="U5" s="5">
        <v>0.07786986290213961</v>
      </c>
      <c r="V5" s="5">
        <v>0.09729728553195696</v>
      </c>
      <c r="W5" s="5">
        <v>0.13520455119459873</v>
      </c>
      <c r="X5" s="5">
        <v>0.06848529747498261</v>
      </c>
      <c r="Y5" s="5">
        <v>0.10655379390352564</v>
      </c>
      <c r="Z5" s="5">
        <v>0.09029158695229353</v>
      </c>
      <c r="AA5" s="5">
        <v>0.12172138778654974</v>
      </c>
      <c r="AB5" s="5">
        <v>0.13686628706888881</v>
      </c>
      <c r="AC5" s="5">
        <v>0.08213828041111088</v>
      </c>
      <c r="AD5" s="5">
        <v>0.10099915767566822</v>
      </c>
      <c r="AE5" s="5">
        <v>0.09892920648235806</v>
      </c>
      <c r="AF5" s="5">
        <v>0.11292224105525554</v>
      </c>
      <c r="AG5" s="5">
        <v>0.12141109792767296</v>
      </c>
      <c r="AH5" s="5">
        <v>0.10754391750751587</v>
      </c>
      <c r="AI5" s="5">
        <v>0.10632350613172165</v>
      </c>
      <c r="AJ5" s="5">
        <v>0.08838407773491862</v>
      </c>
      <c r="AK5" s="5">
        <v>0.05206239352712884</v>
      </c>
      <c r="AL5" s="5">
        <v>0.05176050549589301</v>
      </c>
      <c r="AM5" s="5">
        <v>0.048365457490866896</v>
      </c>
      <c r="AN5" s="5">
        <v>0.04398242347914865</v>
      </c>
      <c r="AO5" s="5">
        <v>0.05097736300383113</v>
      </c>
      <c r="AP5" s="5">
        <v>0.08437890897321275</v>
      </c>
      <c r="AQ5" s="5">
        <v>0.08434494195489743</v>
      </c>
      <c r="AR5" s="5">
        <v>0.06776723214560891</v>
      </c>
      <c r="AS5" s="5">
        <v>0.044653771479182584</v>
      </c>
      <c r="AT5" s="5">
        <v>0.039146995673820136</v>
      </c>
      <c r="AU5" s="5">
        <v>0.017257181916922177</v>
      </c>
      <c r="AV5" s="5">
        <v>0.04544079993543292</v>
      </c>
      <c r="AW5" s="5">
        <v>0.042477009088423175</v>
      </c>
      <c r="AX5" s="5">
        <v>0.031571802291646155</v>
      </c>
      <c r="AY5" s="5">
        <v>0.04733553474117764</v>
      </c>
      <c r="AZ5" s="5">
        <v>0.05436079386546117</v>
      </c>
      <c r="BA5" s="5">
        <v>0.04599515528094269</v>
      </c>
      <c r="BB5" s="5">
        <v>0.08120442934444118</v>
      </c>
      <c r="BC5" s="5">
        <v>0.06132995756506535</v>
      </c>
      <c r="BD5" s="5">
        <v>0.04472922676126984</v>
      </c>
      <c r="BE5" s="5">
        <v>-0.006312209026523947</v>
      </c>
      <c r="BF5" s="5">
        <v>0.039345484962079354</v>
      </c>
      <c r="BG5" s="5">
        <v>0.05830488624614585</v>
      </c>
      <c r="BH5" s="5">
        <v>0.0706067719922324</v>
      </c>
      <c r="BI5" s="5">
        <v>0.05755708558439939</v>
      </c>
      <c r="BJ5" s="5">
        <v>0.03556378235558597</v>
      </c>
      <c r="BK5" s="5">
        <v>-0.006059257536660012</v>
      </c>
      <c r="BL5" s="5">
        <v>0.04047688402588172</v>
      </c>
      <c r="BM5" s="5">
        <v>0.04708601163391741</v>
      </c>
      <c r="BN5" s="5">
        <v>0.011253230926730534</v>
      </c>
      <c r="BO5" s="5">
        <v>0.054372647345114655</v>
      </c>
      <c r="BP5" s="5">
        <v>0.020513278457313815</v>
      </c>
      <c r="BQ5" s="5">
        <v>0.021210201636754814</v>
      </c>
      <c r="BR5" s="5">
        <v>0.05356290785802839</v>
      </c>
      <c r="BS5" s="5">
        <v>0.04151559241147272</v>
      </c>
      <c r="BT5" s="5">
        <v>0.0487179530785407</v>
      </c>
      <c r="BU5" s="5">
        <v>0.06666473119734342</v>
      </c>
      <c r="BV5" s="5">
        <v>-0.056606563141497826</v>
      </c>
    </row>
    <row r="6" ht="14.25" customHeight="1">
      <c r="A6" s="7" t="s">
        <v>135</v>
      </c>
      <c r="O6" s="18">
        <v>4.980111849138396</v>
      </c>
      <c r="P6" s="18">
        <v>6.843469985235856</v>
      </c>
      <c r="Q6" s="18">
        <v>6.233679952091791</v>
      </c>
      <c r="R6" s="18">
        <v>6.652099507600724</v>
      </c>
      <c r="S6" s="18">
        <v>4.861507695806381</v>
      </c>
      <c r="T6" s="18">
        <v>5.251837045660864</v>
      </c>
      <c r="U6" s="18">
        <v>4.921148915284633</v>
      </c>
      <c r="V6" s="18">
        <v>4.491308885790062</v>
      </c>
      <c r="W6" s="18">
        <v>7.109475344852356</v>
      </c>
      <c r="X6" s="18">
        <v>6.10867981285152</v>
      </c>
      <c r="Y6" s="18">
        <v>5.31671589688149</v>
      </c>
      <c r="Z6" s="18">
        <v>4.5113740186173885</v>
      </c>
      <c r="AA6" s="18">
        <v>6.3445806746978946</v>
      </c>
      <c r="AB6" s="18">
        <v>4.300919143082837</v>
      </c>
      <c r="AC6" s="18">
        <v>-0.9598847462230964</v>
      </c>
      <c r="AD6" s="18">
        <v>4.356758902768362</v>
      </c>
      <c r="AE6" s="18">
        <v>3.4643120042878763</v>
      </c>
      <c r="AF6" s="18">
        <v>3.9785437223583813</v>
      </c>
      <c r="AG6" s="18">
        <v>3.549989156692419</v>
      </c>
      <c r="AH6" s="18">
        <v>1.578745259905844</v>
      </c>
      <c r="AI6" s="18">
        <v>1.0690198385372724</v>
      </c>
      <c r="AJ6" s="18">
        <v>2.5053966163757906</v>
      </c>
      <c r="AK6" s="18">
        <v>1.2408648621155862</v>
      </c>
      <c r="AL6" s="18">
        <v>1.5137216034431589</v>
      </c>
      <c r="AM6" s="18">
        <v>1.6227813671579412</v>
      </c>
      <c r="AN6" s="18">
        <v>2.3372763497996942</v>
      </c>
      <c r="AO6" s="18">
        <v>2.561900334501189</v>
      </c>
      <c r="AP6" s="18">
        <v>4.743142193564836</v>
      </c>
      <c r="AQ6" s="18">
        <v>4.343861062676126</v>
      </c>
      <c r="AR6" s="18">
        <v>2.923935081230738</v>
      </c>
      <c r="AS6" s="18">
        <v>1.048175847044348</v>
      </c>
      <c r="AT6" s="18">
        <v>1.5993426768712737</v>
      </c>
      <c r="AU6" s="18">
        <v>-0.6286663519054372</v>
      </c>
      <c r="AV6" s="18">
        <v>2.358342181118985</v>
      </c>
      <c r="AW6" s="18">
        <v>2.106695253259744</v>
      </c>
      <c r="AX6" s="18">
        <v>1.412993672500022</v>
      </c>
      <c r="AY6" s="18">
        <v>2.336296529379439</v>
      </c>
      <c r="AZ6" s="18">
        <v>3.5886594253542654</v>
      </c>
      <c r="BA6" s="18">
        <v>3.421373798824547</v>
      </c>
      <c r="BB6" s="18">
        <v>3.9236692270406337</v>
      </c>
      <c r="BC6" s="18">
        <v>1.9837214186329248</v>
      </c>
      <c r="BD6" s="18">
        <v>1.135531482146007</v>
      </c>
      <c r="BE6" s="18">
        <v>0.8231607566841177</v>
      </c>
      <c r="BF6" s="18">
        <v>2.829752928698909</v>
      </c>
      <c r="BG6" s="18">
        <v>1.663219980300795</v>
      </c>
      <c r="BH6" s="18">
        <v>2.4493236011188486</v>
      </c>
      <c r="BI6" s="18">
        <v>2.4247362433730473</v>
      </c>
      <c r="BJ6" s="18">
        <v>0.2549459601240045</v>
      </c>
      <c r="BK6" s="18">
        <v>-2.8733138284963076</v>
      </c>
      <c r="BL6" s="18">
        <v>1.9494376231266273</v>
      </c>
      <c r="BM6" s="18">
        <v>2.1927006326665435</v>
      </c>
      <c r="BN6" s="18">
        <v>0.3131347510771718</v>
      </c>
      <c r="BO6" s="18">
        <v>0.5763266747717921</v>
      </c>
      <c r="BP6" s="18">
        <v>0.9561830523715571</v>
      </c>
      <c r="BQ6" s="18">
        <v>1.1129123405746952</v>
      </c>
      <c r="BR6" s="18">
        <v>1.0954644037204844</v>
      </c>
      <c r="BS6" s="18">
        <v>2.2914199941702122</v>
      </c>
      <c r="BT6" s="18">
        <v>1.7928639271133306</v>
      </c>
      <c r="BU6" s="18">
        <v>1.508594030337946</v>
      </c>
      <c r="BV6" s="18">
        <v>-8.114907097492633</v>
      </c>
    </row>
    <row r="7" ht="14.25" customHeight="1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91">
        <v>0.018000000000000002</v>
      </c>
      <c r="BU7" s="91">
        <v>0.015</v>
      </c>
      <c r="BV7" s="91">
        <v>-0.08199999999999999</v>
      </c>
      <c r="BW7" s="91">
        <v>0.05</v>
      </c>
      <c r="BX7" s="91">
        <v>0.04</v>
      </c>
      <c r="BY7" s="91">
        <v>0.023</v>
      </c>
      <c r="BZ7" s="91">
        <v>0.016</v>
      </c>
      <c r="CA7" s="91">
        <v>0.013999999999999999</v>
      </c>
      <c r="CB7" s="91">
        <v>0.013999999999999999</v>
      </c>
      <c r="CC7" s="91">
        <v>0.013999999999999999</v>
      </c>
    </row>
    <row r="8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4"/>
      <c r="BX8" s="4"/>
      <c r="BY8" s="4"/>
      <c r="BZ8" s="4"/>
      <c r="CA8" s="4"/>
      <c r="CB8" s="4"/>
      <c r="CC8" s="4"/>
    </row>
    <row r="9" ht="14.25" customHeight="1">
      <c r="A9" s="7" t="s">
        <v>3</v>
      </c>
      <c r="O9" s="5">
        <f t="shared" ref="O9:BV9" si="1">O4/100</f>
        <v>0.04980132865</v>
      </c>
      <c r="P9" s="5">
        <f t="shared" si="1"/>
        <v>0.06843534989</v>
      </c>
      <c r="Q9" s="5">
        <f t="shared" si="1"/>
        <v>0.06233556241</v>
      </c>
      <c r="R9" s="5">
        <f t="shared" si="1"/>
        <v>0.06652200752</v>
      </c>
      <c r="S9" s="5">
        <f t="shared" si="1"/>
        <v>0.04861426616</v>
      </c>
      <c r="T9" s="5">
        <f t="shared" si="1"/>
        <v>0.05251833585</v>
      </c>
      <c r="U9" s="5">
        <f t="shared" si="1"/>
        <v>0.04921231291</v>
      </c>
      <c r="V9" s="5">
        <f t="shared" si="1"/>
        <v>0.0449131897</v>
      </c>
      <c r="W9" s="5">
        <f t="shared" si="1"/>
        <v>0.0710945009</v>
      </c>
      <c r="X9" s="5">
        <f t="shared" si="1"/>
        <v>0.06108677616</v>
      </c>
      <c r="Y9" s="5">
        <f t="shared" si="1"/>
        <v>0.05316752906</v>
      </c>
      <c r="Z9" s="5">
        <f t="shared" si="1"/>
        <v>0.04511371628</v>
      </c>
      <c r="AA9" s="5">
        <f t="shared" si="1"/>
        <v>0.06344564865</v>
      </c>
      <c r="AB9" s="5">
        <f t="shared" si="1"/>
        <v>0.0430084071</v>
      </c>
      <c r="AC9" s="5">
        <f t="shared" si="1"/>
        <v>-0.009598673292</v>
      </c>
      <c r="AD9" s="5">
        <f t="shared" si="1"/>
        <v>0.04356755521</v>
      </c>
      <c r="AE9" s="5">
        <f t="shared" si="1"/>
        <v>0.03464292359</v>
      </c>
      <c r="AF9" s="5">
        <f t="shared" si="1"/>
        <v>0.03978549468</v>
      </c>
      <c r="AG9" s="5">
        <f t="shared" si="1"/>
        <v>0.03550000376</v>
      </c>
      <c r="AH9" s="5">
        <f t="shared" si="1"/>
        <v>0.01578801228</v>
      </c>
      <c r="AI9" s="5">
        <f t="shared" si="1"/>
        <v>0.01069012757</v>
      </c>
      <c r="AJ9" s="5">
        <f t="shared" si="1"/>
        <v>0.02505361366</v>
      </c>
      <c r="AK9" s="5">
        <f t="shared" si="1"/>
        <v>0.01240852916</v>
      </c>
      <c r="AL9" s="5">
        <f t="shared" si="1"/>
        <v>0.0151370787</v>
      </c>
      <c r="AM9" s="5">
        <f t="shared" si="1"/>
        <v>0.0162282165</v>
      </c>
      <c r="AN9" s="5">
        <f t="shared" si="1"/>
        <v>0.02337235602</v>
      </c>
      <c r="AO9" s="5">
        <f t="shared" si="1"/>
        <v>0.02561908694</v>
      </c>
      <c r="AP9" s="5">
        <f t="shared" si="1"/>
        <v>0.04743185061</v>
      </c>
      <c r="AQ9" s="5">
        <f t="shared" si="1"/>
        <v>0.04343819959</v>
      </c>
      <c r="AR9" s="5">
        <f t="shared" si="1"/>
        <v>0.02923951742</v>
      </c>
      <c r="AS9" s="5">
        <f t="shared" si="1"/>
        <v>0.01048180222</v>
      </c>
      <c r="AT9" s="5">
        <f t="shared" si="1"/>
        <v>0.015993465</v>
      </c>
      <c r="AU9" s="5">
        <f t="shared" si="1"/>
        <v>-0.006286588469</v>
      </c>
      <c r="AV9" s="5">
        <f t="shared" si="1"/>
        <v>0.02358371744</v>
      </c>
      <c r="AW9" s="5">
        <f t="shared" si="1"/>
        <v>0.02106651405</v>
      </c>
      <c r="AX9" s="5">
        <f t="shared" si="1"/>
        <v>0.01412996015</v>
      </c>
      <c r="AY9" s="5">
        <f t="shared" si="1"/>
        <v>0.02336329367</v>
      </c>
      <c r="AZ9" s="5">
        <f t="shared" si="1"/>
        <v>0.03588629338</v>
      </c>
      <c r="BA9" s="5">
        <f t="shared" si="1"/>
        <v>0.0342135236</v>
      </c>
      <c r="BB9" s="5">
        <f t="shared" si="1"/>
        <v>0.03923712456</v>
      </c>
      <c r="BC9" s="5">
        <f t="shared" si="1"/>
        <v>0.01983712115</v>
      </c>
      <c r="BD9" s="5">
        <f t="shared" si="1"/>
        <v>0.01135541744</v>
      </c>
      <c r="BE9" s="5">
        <f t="shared" si="1"/>
        <v>0.008231229974</v>
      </c>
      <c r="BF9" s="5">
        <f t="shared" si="1"/>
        <v>0.02829796585</v>
      </c>
      <c r="BG9" s="5">
        <f t="shared" si="1"/>
        <v>0.0166318213</v>
      </c>
      <c r="BH9" s="5">
        <f t="shared" si="1"/>
        <v>0.02449345401</v>
      </c>
      <c r="BI9" s="5">
        <f t="shared" si="1"/>
        <v>0.02424739786</v>
      </c>
      <c r="BJ9" s="5">
        <f t="shared" si="1"/>
        <v>0.002549367677</v>
      </c>
      <c r="BK9" s="5">
        <f t="shared" si="1"/>
        <v>-0.02873325407</v>
      </c>
      <c r="BL9" s="5">
        <f t="shared" si="1"/>
        <v>0.01949458903</v>
      </c>
      <c r="BM9" s="5">
        <f t="shared" si="1"/>
        <v>0.02192679716</v>
      </c>
      <c r="BN9" s="5">
        <f t="shared" si="1"/>
        <v>0.0031316447</v>
      </c>
      <c r="BO9" s="5">
        <f t="shared" si="1"/>
        <v>0.005763235702</v>
      </c>
      <c r="BP9" s="5">
        <f t="shared" si="1"/>
        <v>0.009561687239</v>
      </c>
      <c r="BQ9" s="5">
        <f t="shared" si="1"/>
        <v>0.01112912342</v>
      </c>
      <c r="BR9" s="5">
        <f t="shared" si="1"/>
        <v>0.01095462584</v>
      </c>
      <c r="BS9" s="5">
        <f t="shared" si="1"/>
        <v>0.02291407524</v>
      </c>
      <c r="BT9" s="5">
        <f t="shared" si="1"/>
        <v>0.0186509854</v>
      </c>
      <c r="BU9" s="5">
        <f t="shared" si="1"/>
        <v>0.01842969129</v>
      </c>
      <c r="BV9" s="5">
        <f t="shared" si="1"/>
        <v>-0.07855266272</v>
      </c>
    </row>
    <row r="10" ht="14.25" customHeight="1">
      <c r="A10" s="7" t="s">
        <v>136</v>
      </c>
      <c r="O10" s="5">
        <f t="shared" ref="O10:BV10" si="2">O6/100</f>
        <v>0.04980111849</v>
      </c>
      <c r="P10" s="5">
        <f t="shared" si="2"/>
        <v>0.06843469985</v>
      </c>
      <c r="Q10" s="5">
        <f t="shared" si="2"/>
        <v>0.06233679952</v>
      </c>
      <c r="R10" s="5">
        <f t="shared" si="2"/>
        <v>0.06652099508</v>
      </c>
      <c r="S10" s="5">
        <f t="shared" si="2"/>
        <v>0.04861507696</v>
      </c>
      <c r="T10" s="5">
        <f t="shared" si="2"/>
        <v>0.05251837046</v>
      </c>
      <c r="U10" s="5">
        <f t="shared" si="2"/>
        <v>0.04921148915</v>
      </c>
      <c r="V10" s="5">
        <f t="shared" si="2"/>
        <v>0.04491308886</v>
      </c>
      <c r="W10" s="5">
        <f t="shared" si="2"/>
        <v>0.07109475345</v>
      </c>
      <c r="X10" s="5">
        <f t="shared" si="2"/>
        <v>0.06108679813</v>
      </c>
      <c r="Y10" s="5">
        <f t="shared" si="2"/>
        <v>0.05316715897</v>
      </c>
      <c r="Z10" s="5">
        <f t="shared" si="2"/>
        <v>0.04511374019</v>
      </c>
      <c r="AA10" s="5">
        <f t="shared" si="2"/>
        <v>0.06344580675</v>
      </c>
      <c r="AB10" s="5">
        <f t="shared" si="2"/>
        <v>0.04300919143</v>
      </c>
      <c r="AC10" s="5">
        <f t="shared" si="2"/>
        <v>-0.009598847462</v>
      </c>
      <c r="AD10" s="5">
        <f t="shared" si="2"/>
        <v>0.04356758903</v>
      </c>
      <c r="AE10" s="5">
        <f t="shared" si="2"/>
        <v>0.03464312004</v>
      </c>
      <c r="AF10" s="5">
        <f t="shared" si="2"/>
        <v>0.03978543722</v>
      </c>
      <c r="AG10" s="5">
        <f t="shared" si="2"/>
        <v>0.03549989157</v>
      </c>
      <c r="AH10" s="5">
        <f t="shared" si="2"/>
        <v>0.0157874526</v>
      </c>
      <c r="AI10" s="5">
        <f t="shared" si="2"/>
        <v>0.01069019839</v>
      </c>
      <c r="AJ10" s="5">
        <f t="shared" si="2"/>
        <v>0.02505396616</v>
      </c>
      <c r="AK10" s="5">
        <f t="shared" si="2"/>
        <v>0.01240864862</v>
      </c>
      <c r="AL10" s="5">
        <f t="shared" si="2"/>
        <v>0.01513721603</v>
      </c>
      <c r="AM10" s="5">
        <f t="shared" si="2"/>
        <v>0.01622781367</v>
      </c>
      <c r="AN10" s="5">
        <f t="shared" si="2"/>
        <v>0.0233727635</v>
      </c>
      <c r="AO10" s="5">
        <f t="shared" si="2"/>
        <v>0.02561900335</v>
      </c>
      <c r="AP10" s="5">
        <f t="shared" si="2"/>
        <v>0.04743142194</v>
      </c>
      <c r="AQ10" s="5">
        <f t="shared" si="2"/>
        <v>0.04343861063</v>
      </c>
      <c r="AR10" s="5">
        <f t="shared" si="2"/>
        <v>0.02923935081</v>
      </c>
      <c r="AS10" s="5">
        <f t="shared" si="2"/>
        <v>0.01048175847</v>
      </c>
      <c r="AT10" s="5">
        <f t="shared" si="2"/>
        <v>0.01599342677</v>
      </c>
      <c r="AU10" s="5">
        <f t="shared" si="2"/>
        <v>-0.006286663519</v>
      </c>
      <c r="AV10" s="5">
        <f t="shared" si="2"/>
        <v>0.02358342181</v>
      </c>
      <c r="AW10" s="5">
        <f t="shared" si="2"/>
        <v>0.02106695253</v>
      </c>
      <c r="AX10" s="5">
        <f t="shared" si="2"/>
        <v>0.01412993673</v>
      </c>
      <c r="AY10" s="5">
        <f t="shared" si="2"/>
        <v>0.02336296529</v>
      </c>
      <c r="AZ10" s="5">
        <f t="shared" si="2"/>
        <v>0.03588659425</v>
      </c>
      <c r="BA10" s="5">
        <f t="shared" si="2"/>
        <v>0.03421373799</v>
      </c>
      <c r="BB10" s="5">
        <f t="shared" si="2"/>
        <v>0.03923669227</v>
      </c>
      <c r="BC10" s="5">
        <f t="shared" si="2"/>
        <v>0.01983721419</v>
      </c>
      <c r="BD10" s="5">
        <f t="shared" si="2"/>
        <v>0.01135531482</v>
      </c>
      <c r="BE10" s="5">
        <f t="shared" si="2"/>
        <v>0.008231607567</v>
      </c>
      <c r="BF10" s="5">
        <f t="shared" si="2"/>
        <v>0.02829752929</v>
      </c>
      <c r="BG10" s="5">
        <f t="shared" si="2"/>
        <v>0.0166321998</v>
      </c>
      <c r="BH10" s="5">
        <f t="shared" si="2"/>
        <v>0.02449323601</v>
      </c>
      <c r="BI10" s="5">
        <f t="shared" si="2"/>
        <v>0.02424736243</v>
      </c>
      <c r="BJ10" s="5">
        <f t="shared" si="2"/>
        <v>0.002549459601</v>
      </c>
      <c r="BK10" s="5">
        <f t="shared" si="2"/>
        <v>-0.02873313828</v>
      </c>
      <c r="BL10" s="5">
        <f t="shared" si="2"/>
        <v>0.01949437623</v>
      </c>
      <c r="BM10" s="5">
        <f t="shared" si="2"/>
        <v>0.02192700633</v>
      </c>
      <c r="BN10" s="5">
        <f t="shared" si="2"/>
        <v>0.003131347511</v>
      </c>
      <c r="BO10" s="5">
        <f t="shared" si="2"/>
        <v>0.005763266748</v>
      </c>
      <c r="BP10" s="5">
        <f t="shared" si="2"/>
        <v>0.009561830524</v>
      </c>
      <c r="BQ10" s="5">
        <f t="shared" si="2"/>
        <v>0.01112912341</v>
      </c>
      <c r="BR10" s="5">
        <f t="shared" si="2"/>
        <v>0.01095464404</v>
      </c>
      <c r="BS10" s="5">
        <f t="shared" si="2"/>
        <v>0.02291419994</v>
      </c>
      <c r="BT10" s="5">
        <f t="shared" si="2"/>
        <v>0.01792863927</v>
      </c>
      <c r="BU10" s="5">
        <f t="shared" si="2"/>
        <v>0.0150859403</v>
      </c>
      <c r="BV10" s="5">
        <f t="shared" si="2"/>
        <v>-0.08114907097</v>
      </c>
    </row>
    <row r="11" ht="14.25" customHeight="1"/>
    <row r="12" ht="14.25" customHeight="1"/>
    <row r="13" ht="14.25" customHeight="1">
      <c r="A13" s="4"/>
      <c r="B13" s="29">
        <v>1948.0</v>
      </c>
      <c r="C13" s="29">
        <v>1949.0</v>
      </c>
      <c r="D13" s="29">
        <v>1950.0</v>
      </c>
      <c r="E13" s="29">
        <v>1951.0</v>
      </c>
      <c r="F13" s="29">
        <v>1952.0</v>
      </c>
      <c r="G13" s="29">
        <v>1953.0</v>
      </c>
      <c r="H13" s="29">
        <v>1954.0</v>
      </c>
      <c r="I13" s="29">
        <v>1955.0</v>
      </c>
      <c r="J13" s="29">
        <v>1956.0</v>
      </c>
      <c r="K13" s="29">
        <v>1957.0</v>
      </c>
      <c r="L13" s="29">
        <v>1958.0</v>
      </c>
      <c r="M13" s="29">
        <v>1959.0</v>
      </c>
      <c r="N13" s="29">
        <v>1960.0</v>
      </c>
      <c r="O13" s="29">
        <v>1961.0</v>
      </c>
      <c r="P13" s="29">
        <v>1962.0</v>
      </c>
      <c r="Q13" s="29">
        <v>1963.0</v>
      </c>
      <c r="R13" s="29">
        <v>1964.0</v>
      </c>
      <c r="S13" s="29">
        <v>1965.0</v>
      </c>
      <c r="T13" s="29">
        <v>1966.0</v>
      </c>
      <c r="U13" s="29">
        <v>1967.0</v>
      </c>
      <c r="V13" s="29">
        <v>1968.0</v>
      </c>
      <c r="W13" s="29">
        <v>1969.0</v>
      </c>
      <c r="X13" s="29">
        <v>1970.0</v>
      </c>
      <c r="Y13" s="29">
        <v>1971.0</v>
      </c>
      <c r="Z13" s="29">
        <v>1972.0</v>
      </c>
      <c r="AA13" s="29">
        <v>1973.0</v>
      </c>
      <c r="AB13" s="29">
        <v>1974.0</v>
      </c>
      <c r="AC13" s="29">
        <v>1975.0</v>
      </c>
      <c r="AD13" s="29">
        <v>1976.0</v>
      </c>
      <c r="AE13" s="29">
        <v>1977.0</v>
      </c>
      <c r="AF13" s="29">
        <v>1978.0</v>
      </c>
      <c r="AG13" s="29">
        <v>1979.0</v>
      </c>
      <c r="AH13" s="29">
        <v>1980.0</v>
      </c>
      <c r="AI13" s="29">
        <v>1981.0</v>
      </c>
      <c r="AJ13" s="29">
        <v>1982.0</v>
      </c>
      <c r="AK13" s="29">
        <v>1983.0</v>
      </c>
      <c r="AL13" s="29">
        <v>1984.0</v>
      </c>
      <c r="AM13" s="29">
        <v>1985.0</v>
      </c>
      <c r="AN13" s="29">
        <v>1986.0</v>
      </c>
      <c r="AO13" s="29">
        <v>1987.0</v>
      </c>
      <c r="AP13" s="29">
        <v>1988.0</v>
      </c>
      <c r="AQ13" s="29">
        <v>1989.0</v>
      </c>
      <c r="AR13" s="29">
        <v>1990.0</v>
      </c>
      <c r="AS13" s="29">
        <v>1991.0</v>
      </c>
      <c r="AT13" s="29">
        <v>1992.0</v>
      </c>
      <c r="AU13" s="29">
        <v>1993.0</v>
      </c>
      <c r="AV13" s="29">
        <v>1994.0</v>
      </c>
      <c r="AW13" s="29">
        <v>1995.0</v>
      </c>
      <c r="AX13" s="29">
        <v>1996.0</v>
      </c>
      <c r="AY13" s="29">
        <v>1997.0</v>
      </c>
      <c r="AZ13" s="29">
        <v>1998.0</v>
      </c>
      <c r="BA13" s="29">
        <v>1999.0</v>
      </c>
      <c r="BB13" s="29">
        <v>2000.0</v>
      </c>
      <c r="BC13" s="29">
        <v>2001.0</v>
      </c>
      <c r="BD13" s="29">
        <v>2002.0</v>
      </c>
      <c r="BE13" s="29">
        <v>2003.0</v>
      </c>
      <c r="BF13" s="29">
        <v>2004.0</v>
      </c>
      <c r="BG13" s="29">
        <v>2005.0</v>
      </c>
      <c r="BH13" s="29">
        <v>2006.0</v>
      </c>
      <c r="BI13" s="29">
        <v>2007.0</v>
      </c>
      <c r="BJ13" s="29">
        <v>2008.0</v>
      </c>
      <c r="BK13" s="29">
        <v>2009.0</v>
      </c>
      <c r="BL13" s="29">
        <v>2010.0</v>
      </c>
      <c r="BM13" s="29">
        <v>2011.0</v>
      </c>
      <c r="BN13" s="29">
        <v>2012.0</v>
      </c>
      <c r="BO13" s="29">
        <v>2013.0</v>
      </c>
      <c r="BP13" s="29">
        <v>2014.0</v>
      </c>
      <c r="BQ13" s="29">
        <v>2015.0</v>
      </c>
      <c r="BR13" s="29">
        <v>2016.0</v>
      </c>
      <c r="BS13" s="29">
        <v>2017.0</v>
      </c>
      <c r="BT13" s="29">
        <v>2018.0</v>
      </c>
      <c r="BU13" s="29">
        <v>2019.0</v>
      </c>
      <c r="BV13" s="29">
        <v>2020.0</v>
      </c>
      <c r="BW13" s="4"/>
      <c r="BX13" s="4"/>
      <c r="BY13" s="4"/>
      <c r="BZ13" s="4"/>
      <c r="CA13" s="4"/>
      <c r="CB13" s="4"/>
      <c r="CC13" s="4"/>
    </row>
    <row r="14" ht="14.25" customHeight="1">
      <c r="A14" s="4" t="s">
        <v>137</v>
      </c>
      <c r="D14" s="18"/>
      <c r="O14" s="5">
        <f t="shared" ref="O14:BJ14" si="3">O9-O3</f>
        <v>-0.005754388114</v>
      </c>
      <c r="P14" s="5">
        <f t="shared" si="3"/>
        <v>0.001953606738</v>
      </c>
      <c r="Q14" s="5">
        <f t="shared" si="3"/>
        <v>0.01038640572</v>
      </c>
      <c r="R14" s="5">
        <f t="shared" si="3"/>
        <v>-0.0001446591437</v>
      </c>
      <c r="S14" s="5">
        <f t="shared" si="3"/>
        <v>0.000003665556332</v>
      </c>
      <c r="T14" s="5">
        <f t="shared" si="3"/>
        <v>0.001746739029</v>
      </c>
      <c r="U14" s="5">
        <f t="shared" si="3"/>
        <v>0.002993448829</v>
      </c>
      <c r="V14" s="5">
        <f t="shared" si="3"/>
        <v>0.0007361387325</v>
      </c>
      <c r="W14" s="5">
        <f t="shared" si="3"/>
        <v>0.001790518021</v>
      </c>
      <c r="X14" s="5">
        <f t="shared" si="3"/>
        <v>0.003777930584</v>
      </c>
      <c r="Y14" s="5">
        <f t="shared" si="3"/>
        <v>0.004777028899</v>
      </c>
      <c r="Z14" s="5">
        <f t="shared" si="3"/>
        <v>0.0006522756659</v>
      </c>
      <c r="AA14" s="5">
        <f t="shared" si="3"/>
        <v>0.009031063684</v>
      </c>
      <c r="AB14" s="5">
        <f t="shared" si="3"/>
        <v>0.01369842779</v>
      </c>
      <c r="AC14" s="5">
        <f t="shared" si="3"/>
        <v>-0.002630042075</v>
      </c>
      <c r="AD14" s="5">
        <f t="shared" si="3"/>
        <v>0.0003409200536</v>
      </c>
      <c r="AE14" s="5">
        <f t="shared" si="3"/>
        <v>-0.002677835575</v>
      </c>
      <c r="AF14" s="5">
        <f t="shared" si="3"/>
        <v>0.01202904927</v>
      </c>
      <c r="AG14" s="5">
        <f t="shared" si="3"/>
        <v>0.003415645836</v>
      </c>
      <c r="AH14" s="5">
        <f t="shared" si="3"/>
        <v>0.001741748828</v>
      </c>
      <c r="AI14" s="5">
        <f t="shared" si="3"/>
        <v>0.0004254682007</v>
      </c>
      <c r="AJ14" s="5">
        <f t="shared" si="3"/>
        <v>-0.00009004003762</v>
      </c>
      <c r="AK14" s="5">
        <f t="shared" si="3"/>
        <v>0.0007128100708</v>
      </c>
      <c r="AL14" s="5">
        <f t="shared" si="3"/>
        <v>0.0004439594152</v>
      </c>
      <c r="AM14" s="5">
        <f t="shared" si="3"/>
        <v>0.002204415454</v>
      </c>
      <c r="AN14" s="5">
        <f t="shared" si="3"/>
        <v>-0.0003639728469</v>
      </c>
      <c r="AO14" s="5">
        <f t="shared" si="3"/>
        <v>0.0003521152696</v>
      </c>
      <c r="AP14" s="5">
        <f t="shared" si="3"/>
        <v>0.003487418355</v>
      </c>
      <c r="AQ14" s="5">
        <f t="shared" si="3"/>
        <v>0.002868629835</v>
      </c>
      <c r="AR14" s="5">
        <f t="shared" si="3"/>
        <v>0.003042009906</v>
      </c>
      <c r="AS14" s="5">
        <f t="shared" si="3"/>
        <v>-0.001628413084</v>
      </c>
      <c r="AT14" s="5">
        <f t="shared" si="3"/>
        <v>-0.003452298717</v>
      </c>
      <c r="AU14" s="5">
        <f t="shared" si="3"/>
        <v>0.003611557339</v>
      </c>
      <c r="AV14" s="5">
        <f t="shared" si="3"/>
        <v>0.002764976008</v>
      </c>
      <c r="AW14" s="5">
        <f t="shared" si="3"/>
        <v>-0.002473725997</v>
      </c>
      <c r="AX14" s="5">
        <f t="shared" si="3"/>
        <v>0.003185121484</v>
      </c>
      <c r="AY14" s="5">
        <f t="shared" si="3"/>
        <v>-0.0006498196606</v>
      </c>
      <c r="AZ14" s="5">
        <f t="shared" si="3"/>
        <v>0.01048940993</v>
      </c>
      <c r="BA14" s="5">
        <f t="shared" si="3"/>
        <v>0.001163893696</v>
      </c>
      <c r="BB14" s="5">
        <f t="shared" si="3"/>
        <v>0.0001087958241</v>
      </c>
      <c r="BC14" s="5">
        <f t="shared" si="3"/>
        <v>0.001338433499</v>
      </c>
      <c r="BD14" s="5">
        <f t="shared" si="3"/>
        <v>0.001103903027</v>
      </c>
      <c r="BE14" s="5">
        <f t="shared" si="3"/>
        <v>-0.002795872286</v>
      </c>
      <c r="BF14" s="5">
        <f t="shared" si="3"/>
        <v>0.004587964683</v>
      </c>
      <c r="BG14" s="5">
        <f t="shared" si="3"/>
        <v>-0.0023684299</v>
      </c>
      <c r="BH14" s="5">
        <f t="shared" si="3"/>
        <v>0.0004934894415</v>
      </c>
      <c r="BI14" s="5">
        <f t="shared" si="3"/>
        <v>0.001247442544</v>
      </c>
      <c r="BJ14" s="5">
        <f t="shared" si="3"/>
        <v>-0.0004506943249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</row>
    <row r="15" ht="14.25" customHeight="1">
      <c r="A15" s="7" t="s">
        <v>138</v>
      </c>
      <c r="O15" s="5">
        <f t="shared" ref="O15:BJ15" si="4">O5-O3</f>
        <v>0.003165555148</v>
      </c>
      <c r="P15" s="5">
        <f t="shared" si="4"/>
        <v>0.02875551428</v>
      </c>
      <c r="Q15" s="5">
        <f t="shared" si="4"/>
        <v>0.01695142435</v>
      </c>
      <c r="R15" s="5">
        <f t="shared" si="4"/>
        <v>0.01738557382</v>
      </c>
      <c r="S15" s="5">
        <f t="shared" si="4"/>
        <v>0.03209872022</v>
      </c>
      <c r="T15" s="5">
        <f t="shared" si="4"/>
        <v>0.03930433086</v>
      </c>
      <c r="U15" s="5">
        <f t="shared" si="4"/>
        <v>0.03165099882</v>
      </c>
      <c r="V15" s="5">
        <f t="shared" si="4"/>
        <v>0.05312023456</v>
      </c>
      <c r="W15" s="5">
        <f t="shared" si="4"/>
        <v>0.06590056831</v>
      </c>
      <c r="X15" s="5">
        <f t="shared" si="4"/>
        <v>0.0111764519</v>
      </c>
      <c r="Y15" s="5">
        <f t="shared" si="4"/>
        <v>0.05816329374</v>
      </c>
      <c r="Z15" s="5">
        <f t="shared" si="4"/>
        <v>0.04583014634</v>
      </c>
      <c r="AA15" s="5">
        <f t="shared" si="4"/>
        <v>0.06730680282</v>
      </c>
      <c r="AB15" s="5">
        <f t="shared" si="4"/>
        <v>0.1075563078</v>
      </c>
      <c r="AC15" s="5">
        <f t="shared" si="4"/>
        <v>0.08910691163</v>
      </c>
      <c r="AD15" s="5">
        <f t="shared" si="4"/>
        <v>0.05777252252</v>
      </c>
      <c r="AE15" s="5">
        <f t="shared" si="4"/>
        <v>0.06160844732</v>
      </c>
      <c r="AF15" s="5">
        <f t="shared" si="4"/>
        <v>0.08516579564</v>
      </c>
      <c r="AG15" s="5">
        <f t="shared" si="4"/>
        <v>0.08932674</v>
      </c>
      <c r="AH15" s="5">
        <f t="shared" si="4"/>
        <v>0.09349765406</v>
      </c>
      <c r="AI15" s="5">
        <f t="shared" si="4"/>
        <v>0.09605884677</v>
      </c>
      <c r="AJ15" s="5">
        <f t="shared" si="4"/>
        <v>0.06324042404</v>
      </c>
      <c r="AK15" s="5">
        <f t="shared" si="4"/>
        <v>0.04036667444</v>
      </c>
      <c r="AL15" s="5">
        <f t="shared" si="4"/>
        <v>0.03706738621</v>
      </c>
      <c r="AM15" s="5">
        <f t="shared" si="4"/>
        <v>0.03434165644</v>
      </c>
      <c r="AN15" s="5">
        <f t="shared" si="4"/>
        <v>0.02024609461</v>
      </c>
      <c r="AO15" s="5">
        <f t="shared" si="4"/>
        <v>0.02571039133</v>
      </c>
      <c r="AP15" s="5">
        <f t="shared" si="4"/>
        <v>0.04043447672</v>
      </c>
      <c r="AQ15" s="5">
        <f t="shared" si="4"/>
        <v>0.0437753722</v>
      </c>
      <c r="AR15" s="5">
        <f t="shared" si="4"/>
        <v>0.04156972463</v>
      </c>
      <c r="AS15" s="5">
        <f t="shared" si="4"/>
        <v>0.03254355617</v>
      </c>
      <c r="AT15" s="5">
        <f t="shared" si="4"/>
        <v>0.01970123196</v>
      </c>
      <c r="AU15" s="5">
        <f t="shared" si="4"/>
        <v>0.02715532772</v>
      </c>
      <c r="AV15" s="5">
        <f t="shared" si="4"/>
        <v>0.0246220585</v>
      </c>
      <c r="AW15" s="5">
        <f t="shared" si="4"/>
        <v>0.01893676904</v>
      </c>
      <c r="AX15" s="5">
        <f t="shared" si="4"/>
        <v>0.02062696362</v>
      </c>
      <c r="AY15" s="5">
        <f t="shared" si="4"/>
        <v>0.02332242141</v>
      </c>
      <c r="AZ15" s="5">
        <f t="shared" si="4"/>
        <v>0.02896391041</v>
      </c>
      <c r="BA15" s="5">
        <f t="shared" si="4"/>
        <v>0.01294552538</v>
      </c>
      <c r="BB15" s="5">
        <f t="shared" si="4"/>
        <v>0.04207610061</v>
      </c>
      <c r="BC15" s="5">
        <f t="shared" si="4"/>
        <v>0.04283126992</v>
      </c>
      <c r="BD15" s="5">
        <f t="shared" si="4"/>
        <v>0.03447771235</v>
      </c>
      <c r="BE15" s="5">
        <f t="shared" si="4"/>
        <v>-0.01733931129</v>
      </c>
      <c r="BF15" s="5">
        <f t="shared" si="4"/>
        <v>0.0156354838</v>
      </c>
      <c r="BG15" s="5">
        <f t="shared" si="4"/>
        <v>0.03930463505</v>
      </c>
      <c r="BH15" s="5">
        <f t="shared" si="4"/>
        <v>0.04660680742</v>
      </c>
      <c r="BI15" s="5">
        <f t="shared" si="4"/>
        <v>0.03455713027</v>
      </c>
      <c r="BJ15" s="5">
        <f t="shared" si="4"/>
        <v>0.03256372035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</row>
    <row r="16" ht="14.25" customHeight="1">
      <c r="A16" s="4" t="s">
        <v>139</v>
      </c>
      <c r="O16" s="5">
        <f t="shared" ref="O16:BJ16" si="5">O10-O3</f>
        <v>-0.005754598277</v>
      </c>
      <c r="P16" s="5">
        <f t="shared" si="5"/>
        <v>0.001952956696</v>
      </c>
      <c r="Q16" s="5">
        <f t="shared" si="5"/>
        <v>0.01038764283</v>
      </c>
      <c r="R16" s="5">
        <f t="shared" si="5"/>
        <v>-0.0001456715907</v>
      </c>
      <c r="S16" s="5">
        <f t="shared" si="5"/>
        <v>0.000004476355256</v>
      </c>
      <c r="T16" s="5">
        <f t="shared" si="5"/>
        <v>0.001746773632</v>
      </c>
      <c r="U16" s="5">
        <f t="shared" si="5"/>
        <v>0.002992625068</v>
      </c>
      <c r="V16" s="5">
        <f t="shared" si="5"/>
        <v>0.0007360378873</v>
      </c>
      <c r="W16" s="5">
        <f t="shared" si="5"/>
        <v>0.001790770564</v>
      </c>
      <c r="X16" s="5">
        <f t="shared" si="5"/>
        <v>0.003777952551</v>
      </c>
      <c r="Y16" s="5">
        <f t="shared" si="5"/>
        <v>0.004776658808</v>
      </c>
      <c r="Z16" s="5">
        <f t="shared" si="5"/>
        <v>0.000652299573</v>
      </c>
      <c r="AA16" s="5">
        <f t="shared" si="5"/>
        <v>0.009031221782</v>
      </c>
      <c r="AB16" s="5">
        <f t="shared" si="5"/>
        <v>0.01369921212</v>
      </c>
      <c r="AC16" s="5">
        <f t="shared" si="5"/>
        <v>-0.002630216246</v>
      </c>
      <c r="AD16" s="5">
        <f t="shared" si="5"/>
        <v>0.0003409538679</v>
      </c>
      <c r="AE16" s="5">
        <f t="shared" si="5"/>
        <v>-0.002677639124</v>
      </c>
      <c r="AF16" s="5">
        <f t="shared" si="5"/>
        <v>0.0120289918</v>
      </c>
      <c r="AG16" s="5">
        <f t="shared" si="5"/>
        <v>0.00341553364</v>
      </c>
      <c r="AH16" s="5">
        <f t="shared" si="5"/>
        <v>0.001741189152</v>
      </c>
      <c r="AI16" s="5">
        <f t="shared" si="5"/>
        <v>0.0004255390189</v>
      </c>
      <c r="AJ16" s="5">
        <f t="shared" si="5"/>
        <v>-0.00008968752988</v>
      </c>
      <c r="AK16" s="5">
        <f t="shared" si="5"/>
        <v>0.0007129295367</v>
      </c>
      <c r="AL16" s="5">
        <f t="shared" si="5"/>
        <v>0.000444096749</v>
      </c>
      <c r="AM16" s="5">
        <f t="shared" si="5"/>
        <v>0.002204012624</v>
      </c>
      <c r="AN16" s="5">
        <f t="shared" si="5"/>
        <v>-0.0003635653728</v>
      </c>
      <c r="AO16" s="5">
        <f t="shared" si="5"/>
        <v>0.0003520316739</v>
      </c>
      <c r="AP16" s="5">
        <f t="shared" si="5"/>
        <v>0.003486989678</v>
      </c>
      <c r="AQ16" s="5">
        <f t="shared" si="5"/>
        <v>0.002869040873</v>
      </c>
      <c r="AR16" s="5">
        <f t="shared" si="5"/>
        <v>0.003041843299</v>
      </c>
      <c r="AS16" s="5">
        <f t="shared" si="5"/>
        <v>-0.001628456837</v>
      </c>
      <c r="AT16" s="5">
        <f t="shared" si="5"/>
        <v>-0.003452336946</v>
      </c>
      <c r="AU16" s="5">
        <f t="shared" si="5"/>
        <v>0.003611482289</v>
      </c>
      <c r="AV16" s="5">
        <f t="shared" si="5"/>
        <v>0.00276468038</v>
      </c>
      <c r="AW16" s="5">
        <f t="shared" si="5"/>
        <v>-0.002473287518</v>
      </c>
      <c r="AX16" s="5">
        <f t="shared" si="5"/>
        <v>0.003185098056</v>
      </c>
      <c r="AY16" s="5">
        <f t="shared" si="5"/>
        <v>-0.0006501480343</v>
      </c>
      <c r="AZ16" s="5">
        <f t="shared" si="5"/>
        <v>0.0104897108</v>
      </c>
      <c r="BA16" s="5">
        <f t="shared" si="5"/>
        <v>0.001164108087</v>
      </c>
      <c r="BB16" s="5">
        <f t="shared" si="5"/>
        <v>0.0001083635368</v>
      </c>
      <c r="BC16" s="5">
        <f t="shared" si="5"/>
        <v>0.001338526539</v>
      </c>
      <c r="BD16" s="5">
        <f t="shared" si="5"/>
        <v>0.001103800411</v>
      </c>
      <c r="BE16" s="5">
        <f t="shared" si="5"/>
        <v>-0.002795494693</v>
      </c>
      <c r="BF16" s="5">
        <f t="shared" si="5"/>
        <v>0.004587528124</v>
      </c>
      <c r="BG16" s="5">
        <f t="shared" si="5"/>
        <v>-0.002368051398</v>
      </c>
      <c r="BH16" s="5">
        <f t="shared" si="5"/>
        <v>0.0004932714388</v>
      </c>
      <c r="BI16" s="5">
        <f t="shared" si="5"/>
        <v>0.001247407122</v>
      </c>
      <c r="BJ16" s="5">
        <f t="shared" si="5"/>
        <v>-0.000450602401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</row>
    <row r="17" ht="14.25" customHeight="1">
      <c r="A17" s="7" t="s">
        <v>140</v>
      </c>
    </row>
    <row r="18" ht="14.25" customHeight="1">
      <c r="A18" s="7" t="s">
        <v>141</v>
      </c>
      <c r="O18" s="92">
        <f t="shared" ref="O18:BV18" si="6">(O9-O5)</f>
        <v>-0.008919943262</v>
      </c>
      <c r="P18" s="92">
        <f t="shared" si="6"/>
        <v>-0.02680190754</v>
      </c>
      <c r="Q18" s="92">
        <f t="shared" si="6"/>
        <v>-0.006565018635</v>
      </c>
      <c r="R18" s="92">
        <f t="shared" si="6"/>
        <v>-0.01753023296</v>
      </c>
      <c r="S18" s="92">
        <f t="shared" si="6"/>
        <v>-0.03209505466</v>
      </c>
      <c r="T18" s="92">
        <f t="shared" si="6"/>
        <v>-0.03755759183</v>
      </c>
      <c r="U18" s="92">
        <f t="shared" si="6"/>
        <v>-0.02865754999</v>
      </c>
      <c r="V18" s="92">
        <f t="shared" si="6"/>
        <v>-0.05238409583</v>
      </c>
      <c r="W18" s="92">
        <f t="shared" si="6"/>
        <v>-0.06411005029</v>
      </c>
      <c r="X18" s="92">
        <f t="shared" si="6"/>
        <v>-0.007398521313</v>
      </c>
      <c r="Y18" s="92">
        <f t="shared" si="6"/>
        <v>-0.05338626484</v>
      </c>
      <c r="Z18" s="92">
        <f t="shared" si="6"/>
        <v>-0.04517787067</v>
      </c>
      <c r="AA18" s="92">
        <f t="shared" si="6"/>
        <v>-0.05827573914</v>
      </c>
      <c r="AB18" s="92">
        <f t="shared" si="6"/>
        <v>-0.09385787997</v>
      </c>
      <c r="AC18" s="92">
        <f t="shared" si="6"/>
        <v>-0.0917369537</v>
      </c>
      <c r="AD18" s="92">
        <f t="shared" si="6"/>
        <v>-0.05743160246</v>
      </c>
      <c r="AE18" s="92">
        <f t="shared" si="6"/>
        <v>-0.06428628289</v>
      </c>
      <c r="AF18" s="92">
        <f t="shared" si="6"/>
        <v>-0.07313674637</v>
      </c>
      <c r="AG18" s="92">
        <f t="shared" si="6"/>
        <v>-0.08591109416</v>
      </c>
      <c r="AH18" s="92">
        <f t="shared" si="6"/>
        <v>-0.09175590523</v>
      </c>
      <c r="AI18" s="92">
        <f t="shared" si="6"/>
        <v>-0.09563337856</v>
      </c>
      <c r="AJ18" s="92">
        <f t="shared" si="6"/>
        <v>-0.06333046408</v>
      </c>
      <c r="AK18" s="92">
        <f t="shared" si="6"/>
        <v>-0.03965386437</v>
      </c>
      <c r="AL18" s="92">
        <f t="shared" si="6"/>
        <v>-0.0366234268</v>
      </c>
      <c r="AM18" s="92">
        <f t="shared" si="6"/>
        <v>-0.03213724099</v>
      </c>
      <c r="AN18" s="92">
        <f t="shared" si="6"/>
        <v>-0.02061006746</v>
      </c>
      <c r="AO18" s="92">
        <f t="shared" si="6"/>
        <v>-0.02535827606</v>
      </c>
      <c r="AP18" s="92">
        <f t="shared" si="6"/>
        <v>-0.03694705836</v>
      </c>
      <c r="AQ18" s="92">
        <f t="shared" si="6"/>
        <v>-0.04090674237</v>
      </c>
      <c r="AR18" s="92">
        <f t="shared" si="6"/>
        <v>-0.03852771473</v>
      </c>
      <c r="AS18" s="92">
        <f t="shared" si="6"/>
        <v>-0.03417196926</v>
      </c>
      <c r="AT18" s="92">
        <f t="shared" si="6"/>
        <v>-0.02315353068</v>
      </c>
      <c r="AU18" s="92">
        <f t="shared" si="6"/>
        <v>-0.02354377039</v>
      </c>
      <c r="AV18" s="92">
        <f t="shared" si="6"/>
        <v>-0.0218570825</v>
      </c>
      <c r="AW18" s="92">
        <f t="shared" si="6"/>
        <v>-0.02141049504</v>
      </c>
      <c r="AX18" s="92">
        <f t="shared" si="6"/>
        <v>-0.01744184214</v>
      </c>
      <c r="AY18" s="92">
        <f t="shared" si="6"/>
        <v>-0.02397224107</v>
      </c>
      <c r="AZ18" s="92">
        <f t="shared" si="6"/>
        <v>-0.01847450049</v>
      </c>
      <c r="BA18" s="92">
        <f t="shared" si="6"/>
        <v>-0.01178163168</v>
      </c>
      <c r="BB18" s="92">
        <f t="shared" si="6"/>
        <v>-0.04196730479</v>
      </c>
      <c r="BC18" s="92">
        <f t="shared" si="6"/>
        <v>-0.04149283642</v>
      </c>
      <c r="BD18" s="92">
        <f t="shared" si="6"/>
        <v>-0.03337380932</v>
      </c>
      <c r="BE18" s="92">
        <f t="shared" si="6"/>
        <v>0.014543439</v>
      </c>
      <c r="BF18" s="92">
        <f t="shared" si="6"/>
        <v>-0.01104751912</v>
      </c>
      <c r="BG18" s="92">
        <f t="shared" si="6"/>
        <v>-0.04167306495</v>
      </c>
      <c r="BH18" s="92">
        <f t="shared" si="6"/>
        <v>-0.04611331798</v>
      </c>
      <c r="BI18" s="92">
        <f t="shared" si="6"/>
        <v>-0.03330968773</v>
      </c>
      <c r="BJ18" s="92">
        <f t="shared" si="6"/>
        <v>-0.03301441468</v>
      </c>
      <c r="BK18" s="92">
        <f t="shared" si="6"/>
        <v>-0.02267399653</v>
      </c>
      <c r="BL18" s="92">
        <f t="shared" si="6"/>
        <v>-0.02098229499</v>
      </c>
      <c r="BM18" s="92">
        <f t="shared" si="6"/>
        <v>-0.02515921448</v>
      </c>
      <c r="BN18" s="92">
        <f t="shared" si="6"/>
        <v>-0.008121586227</v>
      </c>
      <c r="BO18" s="92">
        <f t="shared" si="6"/>
        <v>-0.04860941164</v>
      </c>
      <c r="BP18" s="92">
        <f t="shared" si="6"/>
        <v>-0.01095159122</v>
      </c>
      <c r="BQ18" s="92">
        <f t="shared" si="6"/>
        <v>-0.01008107822</v>
      </c>
      <c r="BR18" s="92">
        <f t="shared" si="6"/>
        <v>-0.04260828202</v>
      </c>
      <c r="BS18" s="92">
        <f t="shared" si="6"/>
        <v>-0.01860151717</v>
      </c>
      <c r="BT18" s="92">
        <f t="shared" si="6"/>
        <v>-0.03006696768</v>
      </c>
      <c r="BU18" s="92">
        <f t="shared" si="6"/>
        <v>-0.04823503991</v>
      </c>
      <c r="BV18" s="92">
        <f t="shared" si="6"/>
        <v>-0.02194609958</v>
      </c>
    </row>
    <row r="19" ht="14.25" customHeight="1">
      <c r="A19" s="4" t="s">
        <v>142</v>
      </c>
      <c r="O19" s="92">
        <f t="shared" ref="O19:BV19" si="7">O4-O6</f>
        <v>0.00002101635381</v>
      </c>
      <c r="P19" s="92">
        <f t="shared" si="7"/>
        <v>0.00006500417438</v>
      </c>
      <c r="Q19" s="92">
        <f t="shared" si="7"/>
        <v>-0.0001237111497</v>
      </c>
      <c r="R19" s="92">
        <f t="shared" si="7"/>
        <v>0.0001012447</v>
      </c>
      <c r="S19" s="92">
        <f t="shared" si="7"/>
        <v>-0.00008107989235</v>
      </c>
      <c r="T19" s="92">
        <f t="shared" si="7"/>
        <v>-0.000003460316734</v>
      </c>
      <c r="U19" s="92">
        <f t="shared" si="7"/>
        <v>0.00008237611101</v>
      </c>
      <c r="V19" s="92">
        <f t="shared" si="7"/>
        <v>0.00001008451722</v>
      </c>
      <c r="W19" s="92">
        <f t="shared" si="7"/>
        <v>-0.0000252543603</v>
      </c>
      <c r="X19" s="92">
        <f t="shared" si="7"/>
        <v>-0.00000219668129</v>
      </c>
      <c r="Y19" s="92">
        <f t="shared" si="7"/>
        <v>0.00003700917517</v>
      </c>
      <c r="Z19" s="92">
        <f t="shared" si="7"/>
        <v>-0.000002390708598</v>
      </c>
      <c r="AA19" s="92">
        <f t="shared" si="7"/>
        <v>-0.00001580982862</v>
      </c>
      <c r="AB19" s="92">
        <f t="shared" si="7"/>
        <v>-0.00007843295832</v>
      </c>
      <c r="AC19" s="92">
        <f t="shared" si="7"/>
        <v>0.00001741706831</v>
      </c>
      <c r="AD19" s="92">
        <f t="shared" si="7"/>
        <v>-0.000003381429463</v>
      </c>
      <c r="AE19" s="92">
        <f t="shared" si="7"/>
        <v>-0.00001964515321</v>
      </c>
      <c r="AF19" s="92">
        <f t="shared" si="7"/>
        <v>0.000005746126079</v>
      </c>
      <c r="AG19" s="92">
        <f t="shared" si="7"/>
        <v>0.00001121965349</v>
      </c>
      <c r="AH19" s="92">
        <f t="shared" si="7"/>
        <v>0.0000559676379</v>
      </c>
      <c r="AI19" s="92">
        <f t="shared" si="7"/>
        <v>-0.000007081827602</v>
      </c>
      <c r="AJ19" s="92">
        <f t="shared" si="7"/>
        <v>-0.00003525077416</v>
      </c>
      <c r="AK19" s="92">
        <f t="shared" si="7"/>
        <v>-0.00001194659061</v>
      </c>
      <c r="AL19" s="92">
        <f t="shared" si="7"/>
        <v>-0.00001373338306</v>
      </c>
      <c r="AM19" s="92">
        <f t="shared" si="7"/>
        <v>0.00004028301536</v>
      </c>
      <c r="AN19" s="92">
        <f t="shared" si="7"/>
        <v>-0.00004074740589</v>
      </c>
      <c r="AO19" s="92">
        <f t="shared" si="7"/>
        <v>0.000008359565601</v>
      </c>
      <c r="AP19" s="92">
        <f t="shared" si="7"/>
        <v>0.00004286770539</v>
      </c>
      <c r="AQ19" s="92">
        <f t="shared" si="7"/>
        <v>-0.00004110378041</v>
      </c>
      <c r="AR19" s="92">
        <f t="shared" si="7"/>
        <v>0.00001666062441</v>
      </c>
      <c r="AS19" s="92">
        <f t="shared" si="7"/>
        <v>0.000004375261452</v>
      </c>
      <c r="AT19" s="92">
        <f t="shared" si="7"/>
        <v>0.000003822901666</v>
      </c>
      <c r="AU19" s="92">
        <f t="shared" si="7"/>
        <v>0.000007504996563</v>
      </c>
      <c r="AV19" s="92">
        <f t="shared" si="7"/>
        <v>0.000029562785</v>
      </c>
      <c r="AW19" s="92">
        <f t="shared" si="7"/>
        <v>-0.00004384797344</v>
      </c>
      <c r="AX19" s="92">
        <f t="shared" si="7"/>
        <v>0.000002342800828</v>
      </c>
      <c r="AY19" s="92">
        <f t="shared" si="7"/>
        <v>0.00003283737123</v>
      </c>
      <c r="AZ19" s="92">
        <f t="shared" si="7"/>
        <v>-0.00003008740287</v>
      </c>
      <c r="BA19" s="92">
        <f t="shared" si="7"/>
        <v>-0.00002143902449</v>
      </c>
      <c r="BB19" s="92">
        <f t="shared" si="7"/>
        <v>0.00004322872128</v>
      </c>
      <c r="BC19" s="92">
        <f t="shared" si="7"/>
        <v>-0.000009304003155</v>
      </c>
      <c r="BD19" s="92">
        <f t="shared" si="7"/>
        <v>0.00001026154632</v>
      </c>
      <c r="BE19" s="92">
        <f t="shared" si="7"/>
        <v>-0.00003775928895</v>
      </c>
      <c r="BF19" s="92">
        <f t="shared" si="7"/>
        <v>0.00004365581226</v>
      </c>
      <c r="BG19" s="92">
        <f t="shared" si="7"/>
        <v>-0.00003785023351</v>
      </c>
      <c r="BH19" s="92">
        <f t="shared" si="7"/>
        <v>0.00002180027532</v>
      </c>
      <c r="BI19" s="92">
        <f t="shared" si="7"/>
        <v>0.000003542244713</v>
      </c>
      <c r="BJ19" s="92">
        <f t="shared" si="7"/>
        <v>-0.000009192392085</v>
      </c>
      <c r="BK19" s="92">
        <f t="shared" si="7"/>
        <v>-0.00001157865817</v>
      </c>
      <c r="BL19" s="92">
        <f t="shared" si="7"/>
        <v>0.00002128032332</v>
      </c>
      <c r="BM19" s="92">
        <f t="shared" si="7"/>
        <v>-0.00002091682515</v>
      </c>
      <c r="BN19" s="92">
        <f t="shared" si="7"/>
        <v>0.00002971892477</v>
      </c>
      <c r="BO19" s="92">
        <f t="shared" si="7"/>
        <v>-0.000003104589177</v>
      </c>
      <c r="BP19" s="92">
        <f t="shared" si="7"/>
        <v>-0.0000143284725</v>
      </c>
      <c r="BQ19" s="92">
        <f t="shared" si="7"/>
        <v>0.000000001006834838</v>
      </c>
      <c r="BR19" s="92">
        <f t="shared" si="7"/>
        <v>-0.000001819478624</v>
      </c>
      <c r="BS19" s="92">
        <f t="shared" si="7"/>
        <v>-0.00001247025372</v>
      </c>
      <c r="BT19" s="92">
        <f t="shared" si="7"/>
        <v>0.07223461279</v>
      </c>
      <c r="BU19" s="92">
        <f t="shared" si="7"/>
        <v>0.3343750985</v>
      </c>
      <c r="BV19" s="92">
        <f t="shared" si="7"/>
        <v>0.2596408251</v>
      </c>
    </row>
    <row r="20" ht="14.25" customHeight="1">
      <c r="A20" s="4" t="s">
        <v>143</v>
      </c>
    </row>
    <row r="21" ht="14.25" customHeight="1">
      <c r="A21" s="4" t="s">
        <v>144</v>
      </c>
      <c r="BT21" s="5">
        <f t="shared" ref="BT21:BV21" si="8">BT9-BT7</f>
        <v>0.000650985399</v>
      </c>
      <c r="BU21" s="5">
        <f t="shared" si="8"/>
        <v>0.003429691288</v>
      </c>
      <c r="BV21" s="5">
        <f t="shared" si="8"/>
        <v>0.003447337276</v>
      </c>
      <c r="BW21" s="5"/>
      <c r="BX21" s="5"/>
      <c r="BY21" s="5"/>
      <c r="BZ21" s="5"/>
      <c r="CA21" s="5"/>
      <c r="CB21" s="5"/>
      <c r="CC21" s="5"/>
    </row>
    <row r="22" ht="14.25" customHeight="1">
      <c r="A22" s="4" t="s">
        <v>145</v>
      </c>
      <c r="BT22" s="5">
        <f t="shared" ref="BT22:BV22" si="9">BT7-BT10</f>
        <v>0.00007136072887</v>
      </c>
      <c r="BU22" s="5">
        <f t="shared" si="9"/>
        <v>-0.00008594030338</v>
      </c>
      <c r="BV22" s="5">
        <f t="shared" si="9"/>
        <v>-0.0008509290251</v>
      </c>
      <c r="BW22" s="5"/>
      <c r="BX22" s="5"/>
      <c r="BY22" s="5"/>
      <c r="BZ22" s="5"/>
      <c r="CA22" s="5"/>
      <c r="CB22" s="5"/>
      <c r="CC22" s="5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2021-09-14T08:08:18Z</dcterms:created>
  <dc:creator>Gaetan Guillermin</dc:creator>
</cp:coreProperties>
</file>