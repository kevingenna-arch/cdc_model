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nial/Desktop/"/>
    </mc:Choice>
  </mc:AlternateContent>
  <xr:revisionPtr revIDLastSave="0" documentId="8_{BA9858E7-0A7F-A14B-BED6-BE08E8B9E796}" xr6:coauthVersionLast="47" xr6:coauthVersionMax="47" xr10:uidLastSave="{00000000-0000-0000-0000-000000000000}"/>
  <bookViews>
    <workbookView xWindow="0" yWindow="500" windowWidth="28800" windowHeight="15940" activeTab="2" xr2:uid="{2E0513FF-44B6-0A4C-8C41-FB3CFF5BE409}"/>
  </bookViews>
  <sheets>
    <sheet name="Données brutes" sheetId="1" r:id="rId1"/>
    <sheet name="Données brutes V2" sheetId="3" r:id="rId2"/>
    <sheet name="Quinq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5" i="4" l="1"/>
  <c r="N24" i="4"/>
  <c r="N23" i="4"/>
  <c r="N22" i="4"/>
  <c r="M26" i="4"/>
  <c r="M25" i="4"/>
  <c r="M24" i="4"/>
  <c r="M23" i="4"/>
  <c r="M22" i="4"/>
  <c r="M21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K12" i="4"/>
  <c r="K13" i="4"/>
  <c r="K14" i="4"/>
  <c r="I15" i="4"/>
  <c r="K15" i="4"/>
  <c r="I16" i="4"/>
  <c r="J16" i="4"/>
  <c r="K16" i="4"/>
  <c r="I17" i="4"/>
  <c r="J17" i="4"/>
  <c r="K17" i="4"/>
  <c r="G19" i="4"/>
  <c r="H19" i="4"/>
  <c r="I19" i="4"/>
  <c r="J19" i="4"/>
  <c r="K19" i="4"/>
  <c r="H18" i="4"/>
  <c r="I18" i="4"/>
  <c r="J18" i="4"/>
  <c r="K18" i="4"/>
  <c r="C24" i="4"/>
  <c r="D24" i="4"/>
  <c r="E24" i="4"/>
  <c r="F24" i="4"/>
  <c r="G24" i="4"/>
  <c r="H24" i="4"/>
  <c r="I24" i="4"/>
  <c r="J24" i="4"/>
  <c r="K24" i="4"/>
  <c r="K25" i="4"/>
  <c r="C25" i="4"/>
  <c r="D25" i="4"/>
  <c r="E25" i="4"/>
  <c r="F25" i="4"/>
  <c r="G25" i="4"/>
  <c r="H25" i="4"/>
  <c r="I25" i="4"/>
  <c r="J25" i="4"/>
  <c r="D26" i="4"/>
  <c r="E26" i="4"/>
  <c r="I26" i="4"/>
  <c r="C22" i="4"/>
  <c r="D22" i="4"/>
  <c r="E22" i="4"/>
  <c r="F22" i="4"/>
  <c r="G22" i="4"/>
  <c r="H22" i="4"/>
  <c r="I22" i="4"/>
  <c r="J22" i="4"/>
  <c r="K22" i="4"/>
  <c r="C23" i="4"/>
  <c r="D23" i="4"/>
  <c r="E23" i="4"/>
  <c r="F23" i="4"/>
  <c r="G23" i="4"/>
  <c r="H23" i="4"/>
  <c r="I23" i="4"/>
  <c r="J23" i="4"/>
  <c r="K23" i="4"/>
  <c r="C21" i="4"/>
  <c r="D21" i="4"/>
  <c r="E21" i="4"/>
  <c r="F21" i="4"/>
  <c r="G21" i="4"/>
  <c r="H21" i="4"/>
  <c r="I21" i="4"/>
  <c r="J21" i="4"/>
  <c r="K21" i="4"/>
  <c r="C20" i="4"/>
  <c r="D20" i="4"/>
  <c r="F20" i="4"/>
  <c r="G20" i="4"/>
  <c r="H20" i="4"/>
  <c r="I20" i="4"/>
  <c r="J20" i="4"/>
  <c r="K20" i="4"/>
  <c r="B26" i="4"/>
  <c r="B25" i="4"/>
  <c r="B24" i="4"/>
  <c r="B23" i="4"/>
  <c r="B22" i="4"/>
  <c r="B21" i="4"/>
  <c r="B20" i="4"/>
  <c r="C18" i="4"/>
  <c r="D18" i="4"/>
  <c r="F18" i="4"/>
  <c r="C19" i="4"/>
  <c r="D19" i="4"/>
  <c r="F19" i="4"/>
  <c r="C17" i="4"/>
  <c r="D17" i="4"/>
  <c r="C16" i="4"/>
  <c r="D16" i="4"/>
  <c r="C15" i="4"/>
  <c r="D15" i="4"/>
  <c r="C14" i="4"/>
  <c r="D14" i="4"/>
  <c r="B19" i="4"/>
  <c r="B18" i="4"/>
  <c r="B17" i="4"/>
</calcChain>
</file>

<file path=xl/sharedStrings.xml><?xml version="1.0" encoding="utf-8"?>
<sst xmlns="http://schemas.openxmlformats.org/spreadsheetml/2006/main" count="240" uniqueCount="211">
  <si>
    <t>Variables</t>
  </si>
  <si>
    <t>Déficit public</t>
  </si>
  <si>
    <t>-1.79682457725571</t>
  </si>
  <si>
    <t>-0.4821576555084</t>
  </si>
  <si>
    <t>-0.428536644752861</t>
  </si>
  <si>
    <t>-2.40752178985656</t>
  </si>
  <si>
    <t>-2.83691332089851</t>
  </si>
  <si>
    <t>-2.54076788744866</t>
  </si>
  <si>
    <t>-2.73595179836782</t>
  </si>
  <si>
    <t>-2.97245967672752</t>
  </si>
  <si>
    <t>-3.1974131962347</t>
  </si>
  <si>
    <t>-2.01429233991797</t>
  </si>
  <si>
    <t>-2.56437692860578</t>
  </si>
  <si>
    <t>-1.7822310431733</t>
  </si>
  <si>
    <t>-2.43397060973133</t>
  </si>
  <si>
    <t>-2.86304450378078</t>
  </si>
  <si>
    <t>-4.60121858595576</t>
  </si>
  <si>
    <t>-6.3587944863889</t>
  </si>
  <si>
    <t>-5.42289936069065</t>
  </si>
  <si>
    <t>-5.10854299487882</t>
  </si>
  <si>
    <t>-3.90587942178419</t>
  </si>
  <si>
    <t>-3.65283417016237</t>
  </si>
  <si>
    <t>-2.37843739459248</t>
  </si>
  <si>
    <t>-1.60292762521601</t>
  </si>
  <si>
    <t>-1.31842268114447</t>
  </si>
  <si>
    <t>-1.37927447666103</t>
  </si>
  <si>
    <t>-3.1602899304648</t>
  </si>
  <si>
    <t>-4.0155372099498</t>
  </si>
  <si>
    <t>-3.59057029293687</t>
  </si>
  <si>
    <t>-3.35555989704995</t>
  </si>
  <si>
    <t>-2.44368560794004</t>
  </si>
  <si>
    <t>-2.63629620472246</t>
  </si>
  <si>
    <t>-3.26373482970116</t>
  </si>
  <si>
    <t>-7.17477905126052</t>
  </si>
  <si>
    <t>-6.88672167290052</t>
  </si>
  <si>
    <t>-5.15476088106651</t>
  </si>
  <si>
    <t>-4.98098433361866</t>
  </si>
  <si>
    <t>-4.08409452344595</t>
  </si>
  <si>
    <t>-3.90465934648671</t>
  </si>
  <si>
    <t>-3.62517466994658</t>
  </si>
  <si>
    <t>-3.63725639835479</t>
  </si>
  <si>
    <t>-2.95841709319262</t>
  </si>
  <si>
    <t>-2.28895454080005</t>
  </si>
  <si>
    <t>-3.06465077831587</t>
  </si>
  <si>
    <t>-9.0856587026567</t>
  </si>
  <si>
    <t>ConsoFinale</t>
  </si>
  <si>
    <t>Dépense Publique</t>
  </si>
  <si>
    <t>Dette Publique</t>
  </si>
  <si>
    <t>67.29042</t>
  </si>
  <si>
    <t>73.29137</t>
  </si>
  <si>
    <t>75.95255</t>
  </si>
  <si>
    <t>77.6053</t>
  </si>
  <si>
    <t>74.01518</t>
  </si>
  <si>
    <t>72.42918</t>
  </si>
  <si>
    <t>71.47308</t>
  </si>
  <si>
    <t>75.16156</t>
  </si>
  <si>
    <t>79.07757</t>
  </si>
  <si>
    <t>80.54945</t>
  </si>
  <si>
    <t>82.14224</t>
  </si>
  <si>
    <t>77.26933</t>
  </si>
  <si>
    <t>75.94181</t>
  </si>
  <si>
    <t>82.50349</t>
  </si>
  <si>
    <t>97.5731</t>
  </si>
  <si>
    <t>100.9953</t>
  </si>
  <si>
    <t>103.8066</t>
  </si>
  <si>
    <t>111.9382</t>
  </si>
  <si>
    <t>112.4676</t>
  </si>
  <si>
    <t>120.1551</t>
  </si>
  <si>
    <t>120.8252</t>
  </si>
  <si>
    <t>123.6707</t>
  </si>
  <si>
    <t>122.9442</t>
  </si>
  <si>
    <t>120.7452</t>
  </si>
  <si>
    <t>123.088</t>
  </si>
  <si>
    <t>145.808</t>
  </si>
  <si>
    <t>9.25</t>
  </si>
  <si>
    <t>9.511</t>
  </si>
  <si>
    <t>9.713</t>
  </si>
  <si>
    <t>9.883</t>
  </si>
  <si>
    <t>10.108</t>
  </si>
  <si>
    <t>10.298</t>
  </si>
  <si>
    <t>10.271</t>
  </si>
  <si>
    <t>10.288</t>
  </si>
  <si>
    <t>10.364</t>
  </si>
  <si>
    <t>9.845</t>
  </si>
  <si>
    <t>10.42</t>
  </si>
  <si>
    <t>10.69</t>
  </si>
  <si>
    <t>11.012</t>
  </si>
  <si>
    <t>11.5</t>
  </si>
  <si>
    <t>11.625</t>
  </si>
  <si>
    <t>11.801</t>
  </si>
  <si>
    <t>11.934</t>
  </si>
  <si>
    <t>11.916</t>
  </si>
  <si>
    <t>11.777</t>
  </si>
  <si>
    <t>11.774</t>
  </si>
  <si>
    <t>11.482</t>
  </si>
  <si>
    <t>11.476</t>
  </si>
  <si>
    <t>11.622</t>
  </si>
  <si>
    <t>11.79</t>
  </si>
  <si>
    <t>11.84</t>
  </si>
  <si>
    <t>12.021</t>
  </si>
  <si>
    <t>11.797</t>
  </si>
  <si>
    <t>11.889</t>
  </si>
  <si>
    <t>12.179</t>
  </si>
  <si>
    <t>13.093</t>
  </si>
  <si>
    <t>13.18</t>
  </si>
  <si>
    <t>13.299</t>
  </si>
  <si>
    <t>13.566</t>
  </si>
  <si>
    <t>13.796</t>
  </si>
  <si>
    <t>13.87</t>
  </si>
  <si>
    <t>13.798</t>
  </si>
  <si>
    <t>13.803</t>
  </si>
  <si>
    <t>13.641</t>
  </si>
  <si>
    <t>13.596</t>
  </si>
  <si>
    <t>Dépenses retraite</t>
  </si>
  <si>
    <t>Productivité multifactorielle (PGF)</t>
  </si>
  <si>
    <t>Dépense Education</t>
  </si>
  <si>
    <t>2.500633</t>
  </si>
  <si>
    <t>1.300588</t>
  </si>
  <si>
    <t>0.396134</t>
  </si>
  <si>
    <t>2.425775</t>
  </si>
  <si>
    <t>2.46192</t>
  </si>
  <si>
    <t>1.203488</t>
  </si>
  <si>
    <t>0.008888</t>
  </si>
  <si>
    <t>1.077727</t>
  </si>
  <si>
    <t>-0.311711</t>
  </si>
  <si>
    <t>1.310426</t>
  </si>
  <si>
    <t>1.565742</t>
  </si>
  <si>
    <t>0.337699</t>
  </si>
  <si>
    <t>0.964785</t>
  </si>
  <si>
    <t>1.726729</t>
  </si>
  <si>
    <t>0.791836</t>
  </si>
  <si>
    <t>1.778101</t>
  </si>
  <si>
    <t>0.74156</t>
  </si>
  <si>
    <t>1.56464</t>
  </si>
  <si>
    <t>-0.1163</t>
  </si>
  <si>
    <t>0.805397</t>
  </si>
  <si>
    <t>0.360297</t>
  </si>
  <si>
    <t>1.693613</t>
  </si>
  <si>
    <t>-0.630568</t>
  </si>
  <si>
    <t>-1.29498</t>
  </si>
  <si>
    <t>-2.001751</t>
  </si>
  <si>
    <t>0.908047</t>
  </si>
  <si>
    <t>0.755023</t>
  </si>
  <si>
    <t>-0.26594</t>
  </si>
  <si>
    <t>0.581438</t>
  </si>
  <si>
    <t>0.418421</t>
  </si>
  <si>
    <t>0.318398</t>
  </si>
  <si>
    <t>-0.110433</t>
  </si>
  <si>
    <t>1.469885</t>
  </si>
  <si>
    <t>0.043905</t>
  </si>
  <si>
    <t>0.092581</t>
  </si>
  <si>
    <t>ImpotSalaire</t>
  </si>
  <si>
    <t>1.556</t>
  </si>
  <si>
    <t>1.546</t>
  </si>
  <si>
    <t>1.57</t>
  </si>
  <si>
    <t>1.483</t>
  </si>
  <si>
    <t>0.457</t>
  </si>
  <si>
    <t>0.405</t>
  </si>
  <si>
    <t>0.427</t>
  </si>
  <si>
    <t>0.459</t>
  </si>
  <si>
    <t>0.521</t>
  </si>
  <si>
    <t>0.542</t>
  </si>
  <si>
    <t>0.679</t>
  </si>
  <si>
    <t>0.728</t>
  </si>
  <si>
    <t>0.815</t>
  </si>
  <si>
    <t>0.865</t>
  </si>
  <si>
    <t>0.831</t>
  </si>
  <si>
    <t>0.871</t>
  </si>
  <si>
    <t>0.879</t>
  </si>
  <si>
    <t>0.909</t>
  </si>
  <si>
    <t>0.924</t>
  </si>
  <si>
    <t>0.973</t>
  </si>
  <si>
    <t>0.836</t>
  </si>
  <si>
    <t>0.824</t>
  </si>
  <si>
    <t>0.757</t>
  </si>
  <si>
    <t>0.775</t>
  </si>
  <si>
    <t>0.783</t>
  </si>
  <si>
    <t>0.792</t>
  </si>
  <si>
    <t>0.877</t>
  </si>
  <si>
    <t>0.939</t>
  </si>
  <si>
    <t>1.052</t>
  </si>
  <si>
    <t>1.078</t>
  </si>
  <si>
    <t>1.117</t>
  </si>
  <si>
    <t>1.036</t>
  </si>
  <si>
    <t>1.04</t>
  </si>
  <si>
    <t>1.006</t>
  </si>
  <si>
    <t>0.986</t>
  </si>
  <si>
    <t>1.054</t>
  </si>
  <si>
    <t>1.097</t>
  </si>
  <si>
    <t>1.147</t>
  </si>
  <si>
    <t>1.141</t>
  </si>
  <si>
    <t>1.172</t>
  </si>
  <si>
    <t>1.217</t>
  </si>
  <si>
    <t>1.319</t>
  </si>
  <si>
    <t>1.342</t>
  </si>
  <si>
    <t>1.344</t>
  </si>
  <si>
    <t>1.414</t>
  </si>
  <si>
    <t>1.578</t>
  </si>
  <si>
    <t>1.593</t>
  </si>
  <si>
    <t>1.564</t>
  </si>
  <si>
    <t>1.549</t>
  </si>
  <si>
    <t>1.548</t>
  </si>
  <si>
    <t>1.51</t>
  </si>
  <si>
    <t>1.779</t>
  </si>
  <si>
    <t>1.891</t>
  </si>
  <si>
    <t>PaiementInteret</t>
  </si>
  <si>
    <t>StockCapital</t>
  </si>
  <si>
    <t>Investissement</t>
  </si>
  <si>
    <t>TVA</t>
  </si>
  <si>
    <t>Dépenses Santé</t>
  </si>
  <si>
    <t>Dépenses santé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</si>
</sst>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>
    <font>
      <sz val="12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164" fontId="3" fillId="0" borderId="0" xfId="2" applyNumberFormat="1" applyFont="1" applyAlignment="1">
      <alignment vertical="center"/>
    </xf>
    <xf numFmtId="0" fontId="3" fillId="0" borderId="0" xfId="2" applyFont="1" applyAlignment="1">
      <alignment vertical="center"/>
    </xf>
    <xf numFmtId="0" fontId="0" fillId="0" borderId="0" xfId="0" applyAlignment="1">
      <alignment horizontal="center"/>
    </xf>
  </cellXfs>
  <cellStyles count="3">
    <cellStyle name="Normal" xfId="0" builtinId="0"/>
    <cellStyle name="Normal 2" xfId="1" xr:uid="{D550DD7A-877D-E740-A495-818D3C647D04}"/>
    <cellStyle name="Normal_econ-fin-pub-impots-categ" xfId="2" xr:uid="{E9D47F19-4682-2E49-89D8-68CFC1A386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C9E34-EF64-074D-928D-57B18A59C504}">
  <dimension ref="A1:DT14"/>
  <sheetViews>
    <sheetView zoomScale="85" workbookViewId="0">
      <selection activeCell="A14" sqref="A14:XFD14"/>
    </sheetView>
  </sheetViews>
  <sheetFormatPr baseColWidth="10" defaultRowHeight="16"/>
  <cols>
    <col min="1" max="1" width="29.33203125" bestFit="1" customWidth="1"/>
  </cols>
  <sheetData>
    <row r="1" spans="1:124">
      <c r="A1" t="s">
        <v>0</v>
      </c>
      <c r="B1">
        <v>1900</v>
      </c>
      <c r="C1">
        <v>1901</v>
      </c>
      <c r="D1">
        <v>1902</v>
      </c>
      <c r="E1">
        <v>1903</v>
      </c>
      <c r="F1">
        <v>1904</v>
      </c>
      <c r="G1">
        <v>1905</v>
      </c>
      <c r="H1">
        <v>1906</v>
      </c>
      <c r="I1">
        <v>1907</v>
      </c>
      <c r="J1">
        <v>1908</v>
      </c>
      <c r="K1">
        <v>1909</v>
      </c>
      <c r="L1">
        <v>1910</v>
      </c>
      <c r="M1">
        <v>1911</v>
      </c>
      <c r="N1">
        <v>1912</v>
      </c>
      <c r="O1">
        <v>1913</v>
      </c>
      <c r="P1">
        <v>1914</v>
      </c>
      <c r="Q1">
        <v>1915</v>
      </c>
      <c r="R1">
        <v>1916</v>
      </c>
      <c r="S1">
        <v>1917</v>
      </c>
      <c r="T1">
        <v>1918</v>
      </c>
      <c r="U1">
        <v>1919</v>
      </c>
      <c r="V1">
        <v>1920</v>
      </c>
      <c r="W1">
        <v>1921</v>
      </c>
      <c r="X1">
        <v>1922</v>
      </c>
      <c r="Y1">
        <v>1923</v>
      </c>
      <c r="Z1">
        <v>1924</v>
      </c>
      <c r="AA1">
        <v>1925</v>
      </c>
      <c r="AB1">
        <v>1926</v>
      </c>
      <c r="AC1">
        <v>1927</v>
      </c>
      <c r="AD1">
        <v>1928</v>
      </c>
      <c r="AE1">
        <v>1929</v>
      </c>
      <c r="AF1">
        <v>1930</v>
      </c>
      <c r="AG1">
        <v>1931</v>
      </c>
      <c r="AH1">
        <v>1932</v>
      </c>
      <c r="AI1">
        <v>1933</v>
      </c>
      <c r="AJ1">
        <v>1934</v>
      </c>
      <c r="AK1">
        <v>1935</v>
      </c>
      <c r="AL1">
        <v>1936</v>
      </c>
      <c r="AM1">
        <v>1937</v>
      </c>
      <c r="AN1">
        <v>1938</v>
      </c>
      <c r="AO1">
        <v>1939</v>
      </c>
      <c r="AP1">
        <v>1940</v>
      </c>
      <c r="AQ1">
        <v>1941</v>
      </c>
      <c r="AR1">
        <v>1942</v>
      </c>
      <c r="AS1">
        <v>1943</v>
      </c>
      <c r="AT1">
        <v>1944</v>
      </c>
      <c r="AU1">
        <v>1945</v>
      </c>
      <c r="AV1">
        <v>1946</v>
      </c>
      <c r="AW1">
        <v>1947</v>
      </c>
      <c r="AX1">
        <v>1948</v>
      </c>
      <c r="AY1">
        <v>1949</v>
      </c>
      <c r="AZ1">
        <v>1950</v>
      </c>
      <c r="BA1">
        <v>1951</v>
      </c>
      <c r="BB1">
        <v>1952</v>
      </c>
      <c r="BC1">
        <v>1953</v>
      </c>
      <c r="BD1">
        <v>1954</v>
      </c>
      <c r="BE1">
        <v>1955</v>
      </c>
      <c r="BF1">
        <v>1956</v>
      </c>
      <c r="BG1">
        <v>1957</v>
      </c>
      <c r="BH1">
        <v>1958</v>
      </c>
      <c r="BI1">
        <v>1959</v>
      </c>
      <c r="BJ1">
        <v>1960</v>
      </c>
      <c r="BK1">
        <v>1961</v>
      </c>
      <c r="BL1">
        <v>1962</v>
      </c>
      <c r="BM1">
        <v>1963</v>
      </c>
      <c r="BN1">
        <v>1964</v>
      </c>
      <c r="BO1">
        <v>1965</v>
      </c>
      <c r="BP1">
        <v>1966</v>
      </c>
      <c r="BQ1">
        <v>1967</v>
      </c>
      <c r="BR1">
        <v>1968</v>
      </c>
      <c r="BS1">
        <v>1969</v>
      </c>
      <c r="BT1">
        <v>1970</v>
      </c>
      <c r="BU1">
        <v>1971</v>
      </c>
      <c r="BV1">
        <v>1972</v>
      </c>
      <c r="BW1">
        <v>1973</v>
      </c>
      <c r="BX1">
        <v>1974</v>
      </c>
      <c r="BY1">
        <v>1975</v>
      </c>
      <c r="BZ1">
        <v>1976</v>
      </c>
      <c r="CA1">
        <v>1977</v>
      </c>
      <c r="CB1">
        <v>1978</v>
      </c>
      <c r="CC1">
        <v>1979</v>
      </c>
      <c r="CD1">
        <v>1980</v>
      </c>
      <c r="CE1">
        <v>1981</v>
      </c>
      <c r="CF1">
        <v>1982</v>
      </c>
      <c r="CG1">
        <v>1983</v>
      </c>
      <c r="CH1">
        <v>1984</v>
      </c>
      <c r="CI1">
        <v>1985</v>
      </c>
      <c r="CJ1">
        <v>1986</v>
      </c>
      <c r="CK1">
        <v>1987</v>
      </c>
      <c r="CL1">
        <v>1988</v>
      </c>
      <c r="CM1">
        <v>1989</v>
      </c>
      <c r="CN1">
        <v>1990</v>
      </c>
      <c r="CO1">
        <v>1991</v>
      </c>
      <c r="CP1">
        <v>1992</v>
      </c>
      <c r="CQ1">
        <v>1993</v>
      </c>
      <c r="CR1">
        <v>1994</v>
      </c>
      <c r="CS1">
        <v>1995</v>
      </c>
      <c r="CT1">
        <v>1996</v>
      </c>
      <c r="CU1">
        <v>1997</v>
      </c>
      <c r="CV1">
        <v>1998</v>
      </c>
      <c r="CW1">
        <v>1999</v>
      </c>
      <c r="CX1">
        <v>2000</v>
      </c>
      <c r="CY1">
        <v>2001</v>
      </c>
      <c r="CZ1">
        <v>2002</v>
      </c>
      <c r="DA1">
        <v>2003</v>
      </c>
      <c r="DB1">
        <v>2004</v>
      </c>
      <c r="DC1">
        <v>2005</v>
      </c>
      <c r="DD1">
        <v>2006</v>
      </c>
      <c r="DE1">
        <v>2007</v>
      </c>
      <c r="DF1">
        <v>2008</v>
      </c>
      <c r="DG1">
        <v>2009</v>
      </c>
      <c r="DH1">
        <v>2010</v>
      </c>
      <c r="DI1">
        <v>2011</v>
      </c>
      <c r="DJ1">
        <v>2012</v>
      </c>
      <c r="DK1">
        <v>2013</v>
      </c>
      <c r="DL1">
        <v>2014</v>
      </c>
      <c r="DM1">
        <v>2015</v>
      </c>
      <c r="DN1">
        <v>2016</v>
      </c>
      <c r="DO1">
        <v>2017</v>
      </c>
      <c r="DP1">
        <v>2018</v>
      </c>
      <c r="DQ1">
        <v>2019</v>
      </c>
      <c r="DR1">
        <v>2020</v>
      </c>
      <c r="DS1">
        <v>2021</v>
      </c>
      <c r="DT1">
        <v>2022</v>
      </c>
    </row>
    <row r="2" spans="1:124">
      <c r="A2" t="s">
        <v>1</v>
      </c>
      <c r="CB2" t="s">
        <v>2</v>
      </c>
      <c r="CC2" t="s">
        <v>3</v>
      </c>
      <c r="CD2" t="s">
        <v>4</v>
      </c>
      <c r="CE2" t="s">
        <v>5</v>
      </c>
      <c r="CF2" t="s">
        <v>6</v>
      </c>
      <c r="CG2" t="s">
        <v>7</v>
      </c>
      <c r="CH2" t="s">
        <v>8</v>
      </c>
      <c r="CI2" t="s">
        <v>9</v>
      </c>
      <c r="CJ2" t="s">
        <v>10</v>
      </c>
      <c r="CK2" t="s">
        <v>11</v>
      </c>
      <c r="CL2" t="s">
        <v>12</v>
      </c>
      <c r="CM2" t="s">
        <v>13</v>
      </c>
      <c r="CN2" t="s">
        <v>14</v>
      </c>
      <c r="CO2" t="s">
        <v>15</v>
      </c>
      <c r="CP2" t="s">
        <v>16</v>
      </c>
      <c r="CQ2" t="s">
        <v>17</v>
      </c>
      <c r="CR2" t="s">
        <v>18</v>
      </c>
      <c r="CS2" t="s">
        <v>19</v>
      </c>
      <c r="CT2" t="s">
        <v>20</v>
      </c>
      <c r="CU2" t="s">
        <v>21</v>
      </c>
      <c r="CV2" t="s">
        <v>22</v>
      </c>
      <c r="CW2" t="s">
        <v>23</v>
      </c>
      <c r="CX2" t="s">
        <v>24</v>
      </c>
      <c r="CY2" t="s">
        <v>25</v>
      </c>
      <c r="CZ2" t="s">
        <v>26</v>
      </c>
      <c r="DA2" t="s">
        <v>27</v>
      </c>
      <c r="DB2" t="s">
        <v>28</v>
      </c>
      <c r="DC2" t="s">
        <v>29</v>
      </c>
      <c r="DD2" t="s">
        <v>30</v>
      </c>
      <c r="DE2" t="s">
        <v>31</v>
      </c>
      <c r="DF2" t="s">
        <v>32</v>
      </c>
      <c r="DG2" t="s">
        <v>33</v>
      </c>
      <c r="DH2" t="s">
        <v>34</v>
      </c>
      <c r="DI2" t="s">
        <v>35</v>
      </c>
      <c r="DJ2" t="s">
        <v>36</v>
      </c>
      <c r="DK2" t="s">
        <v>37</v>
      </c>
      <c r="DL2" t="s">
        <v>38</v>
      </c>
      <c r="DM2" t="s">
        <v>39</v>
      </c>
      <c r="DN2" t="s">
        <v>40</v>
      </c>
      <c r="DO2" t="s">
        <v>41</v>
      </c>
      <c r="DP2" t="s">
        <v>42</v>
      </c>
      <c r="DQ2" t="s">
        <v>43</v>
      </c>
      <c r="DR2" t="s">
        <v>44</v>
      </c>
    </row>
    <row r="3" spans="1:124">
      <c r="A3" t="s">
        <v>45</v>
      </c>
      <c r="BJ3">
        <v>5</v>
      </c>
      <c r="BK3">
        <v>5.8</v>
      </c>
      <c r="BL3">
        <v>7.4</v>
      </c>
      <c r="BM3">
        <v>7.2</v>
      </c>
      <c r="BN3">
        <v>5.5</v>
      </c>
      <c r="BO3">
        <v>3.9</v>
      </c>
      <c r="BP3">
        <v>4.8</v>
      </c>
      <c r="BQ3">
        <v>5</v>
      </c>
      <c r="BR3">
        <v>4.3</v>
      </c>
      <c r="BS3">
        <v>6.4</v>
      </c>
      <c r="BT3">
        <v>4.5</v>
      </c>
      <c r="BU3">
        <v>5.6</v>
      </c>
      <c r="BV3">
        <v>5.2</v>
      </c>
      <c r="BW3">
        <v>5.7</v>
      </c>
      <c r="BX3">
        <v>2.8</v>
      </c>
      <c r="BY3">
        <v>2</v>
      </c>
      <c r="BZ3">
        <v>5.6</v>
      </c>
      <c r="CA3">
        <v>2.6</v>
      </c>
      <c r="CB3">
        <v>3.9</v>
      </c>
      <c r="CC3">
        <v>3.4</v>
      </c>
      <c r="CD3">
        <v>1.2</v>
      </c>
      <c r="CE3">
        <v>2</v>
      </c>
      <c r="CF3">
        <v>3.3</v>
      </c>
      <c r="CG3">
        <v>0.8</v>
      </c>
      <c r="CH3">
        <v>0.7</v>
      </c>
      <c r="CI3">
        <v>1.9</v>
      </c>
      <c r="CJ3">
        <v>3.7</v>
      </c>
      <c r="CK3">
        <v>3.2</v>
      </c>
      <c r="CL3">
        <v>3.3</v>
      </c>
      <c r="CM3">
        <v>3.2</v>
      </c>
      <c r="CN3">
        <v>2.5</v>
      </c>
      <c r="CO3">
        <v>0.6</v>
      </c>
      <c r="CP3">
        <v>0.9</v>
      </c>
      <c r="CQ3">
        <v>-0.1</v>
      </c>
      <c r="CR3">
        <v>1.6</v>
      </c>
      <c r="CS3">
        <v>1.6</v>
      </c>
      <c r="CT3">
        <v>1.9</v>
      </c>
      <c r="CU3">
        <v>0.5</v>
      </c>
      <c r="CV3">
        <v>4</v>
      </c>
      <c r="CW3">
        <v>3.5</v>
      </c>
      <c r="CX3">
        <v>3.6</v>
      </c>
      <c r="CY3">
        <v>2.5</v>
      </c>
      <c r="CZ3">
        <v>1.8</v>
      </c>
      <c r="DA3">
        <v>1.7</v>
      </c>
      <c r="DB3">
        <v>2.1</v>
      </c>
      <c r="DC3">
        <v>2.5</v>
      </c>
      <c r="DD3">
        <v>2.1</v>
      </c>
      <c r="DE3">
        <v>2.6</v>
      </c>
      <c r="DF3">
        <v>0.6</v>
      </c>
      <c r="DG3">
        <v>0.2</v>
      </c>
      <c r="DH3">
        <v>1.8</v>
      </c>
      <c r="DI3">
        <v>0.6</v>
      </c>
      <c r="DJ3">
        <v>-0.5</v>
      </c>
      <c r="DK3">
        <v>0.5</v>
      </c>
      <c r="DL3">
        <v>0.8</v>
      </c>
      <c r="DM3">
        <v>1.5</v>
      </c>
      <c r="DN3">
        <v>1.8</v>
      </c>
      <c r="DO3">
        <v>1.4</v>
      </c>
      <c r="DP3">
        <v>0.9</v>
      </c>
    </row>
    <row r="4" spans="1:124">
      <c r="A4" t="s">
        <v>46</v>
      </c>
      <c r="BJ4">
        <v>34.686264922353601</v>
      </c>
      <c r="BK4">
        <v>36.033835882185002</v>
      </c>
      <c r="BL4">
        <v>37.175276464210299</v>
      </c>
      <c r="BM4">
        <v>37.936407413909897</v>
      </c>
      <c r="BN4">
        <v>38.368911401564802</v>
      </c>
      <c r="BO4">
        <v>39.098688859229</v>
      </c>
      <c r="BP4">
        <v>39.2752965266777</v>
      </c>
      <c r="BQ4">
        <v>39.940811882293801</v>
      </c>
      <c r="BR4">
        <v>41.889495839612103</v>
      </c>
      <c r="BS4">
        <v>40.738374131630799</v>
      </c>
      <c r="BT4">
        <v>40.022848378099297</v>
      </c>
      <c r="BU4">
        <v>39.647712212234303</v>
      </c>
      <c r="BV4">
        <v>39.447929640296699</v>
      </c>
      <c r="BW4">
        <v>39.353141476763703</v>
      </c>
      <c r="BX4">
        <v>39.757364442905399</v>
      </c>
      <c r="BY4">
        <v>44.5233936475097</v>
      </c>
      <c r="BZ4">
        <v>44.988881625813697</v>
      </c>
      <c r="CA4">
        <v>44.192291633597598</v>
      </c>
      <c r="CB4">
        <v>45.196498721370702</v>
      </c>
      <c r="CC4">
        <v>45.4717588567635</v>
      </c>
      <c r="CD4">
        <v>46.404576132860498</v>
      </c>
      <c r="CE4">
        <v>48.9572934749296</v>
      </c>
      <c r="CF4">
        <v>48.9572934749296</v>
      </c>
      <c r="CG4">
        <v>50.744305565889299</v>
      </c>
      <c r="CH4">
        <v>51.673649872650302</v>
      </c>
      <c r="CI4">
        <v>52.311679734688099</v>
      </c>
      <c r="CJ4">
        <v>51.901304216899597</v>
      </c>
      <c r="CK4">
        <v>51.318800171872702</v>
      </c>
      <c r="CL4">
        <v>50.643677276378497</v>
      </c>
      <c r="CM4">
        <v>49.472942496034598</v>
      </c>
      <c r="CN4">
        <v>50.132239174080397</v>
      </c>
      <c r="CO4">
        <v>51.271533743725001</v>
      </c>
      <c r="CP4">
        <v>52.591222824313803</v>
      </c>
      <c r="CQ4">
        <v>55.204516869309103</v>
      </c>
      <c r="CR4">
        <v>54.6253048330613</v>
      </c>
      <c r="CS4">
        <v>54.808833425294097</v>
      </c>
      <c r="CT4">
        <v>54.881013650859202</v>
      </c>
      <c r="CU4">
        <v>54.530599982100597</v>
      </c>
      <c r="CV4">
        <v>52.924493145107803</v>
      </c>
      <c r="CW4">
        <v>52.630004882943197</v>
      </c>
      <c r="CX4">
        <v>51.652285688527499</v>
      </c>
      <c r="CY4">
        <v>51.718310474470798</v>
      </c>
      <c r="CZ4">
        <v>52.795162099298899</v>
      </c>
      <c r="DA4">
        <v>53.270449407843103</v>
      </c>
      <c r="DB4">
        <v>52.984929447655702</v>
      </c>
      <c r="DC4">
        <v>53.294036388935801</v>
      </c>
      <c r="DD4">
        <v>52.875720578413897</v>
      </c>
      <c r="DE4">
        <v>52.565464152402001</v>
      </c>
      <c r="DF4">
        <v>53.296258745821603</v>
      </c>
      <c r="DG4">
        <v>57.151841310648003</v>
      </c>
      <c r="DH4">
        <v>56.881785044672696</v>
      </c>
      <c r="DI4">
        <v>56.290687252416198</v>
      </c>
      <c r="DJ4">
        <v>57.107261934147601</v>
      </c>
      <c r="DK4">
        <v>57.227800344289903</v>
      </c>
      <c r="DL4">
        <v>57.213602097641697</v>
      </c>
      <c r="DM4">
        <v>56.8</v>
      </c>
      <c r="DN4">
        <v>56.7</v>
      </c>
      <c r="DO4">
        <v>56.5</v>
      </c>
      <c r="DP4">
        <v>55.6</v>
      </c>
      <c r="DQ4">
        <v>55.4</v>
      </c>
      <c r="DR4">
        <v>61.6</v>
      </c>
    </row>
    <row r="5" spans="1:124">
      <c r="A5" t="s">
        <v>47</v>
      </c>
      <c r="CS5" t="s">
        <v>48</v>
      </c>
      <c r="CT5" t="s">
        <v>49</v>
      </c>
      <c r="CU5" t="s">
        <v>50</v>
      </c>
      <c r="CV5" t="s">
        <v>51</v>
      </c>
      <c r="CW5" t="s">
        <v>52</v>
      </c>
      <c r="CX5" t="s">
        <v>53</v>
      </c>
      <c r="CY5" t="s">
        <v>54</v>
      </c>
      <c r="CZ5" t="s">
        <v>55</v>
      </c>
      <c r="DA5" t="s">
        <v>56</v>
      </c>
      <c r="DB5" t="s">
        <v>57</v>
      </c>
      <c r="DC5" t="s">
        <v>58</v>
      </c>
      <c r="DD5" t="s">
        <v>59</v>
      </c>
      <c r="DE5" t="s">
        <v>60</v>
      </c>
      <c r="DF5" t="s">
        <v>61</v>
      </c>
      <c r="DG5" t="s">
        <v>62</v>
      </c>
      <c r="DH5" t="s">
        <v>63</v>
      </c>
      <c r="DI5" t="s">
        <v>64</v>
      </c>
      <c r="DJ5" t="s">
        <v>65</v>
      </c>
      <c r="DK5" t="s">
        <v>66</v>
      </c>
      <c r="DL5" t="s">
        <v>67</v>
      </c>
      <c r="DM5" t="s">
        <v>68</v>
      </c>
      <c r="DN5" t="s">
        <v>69</v>
      </c>
      <c r="DO5" t="s">
        <v>70</v>
      </c>
      <c r="DP5" t="s">
        <v>71</v>
      </c>
      <c r="DQ5" t="s">
        <v>72</v>
      </c>
      <c r="DR5" t="s">
        <v>73</v>
      </c>
    </row>
    <row r="6" spans="1:124">
      <c r="A6" t="s">
        <v>113</v>
      </c>
      <c r="CD6" t="s">
        <v>74</v>
      </c>
      <c r="CE6" t="s">
        <v>75</v>
      </c>
      <c r="CF6" t="s">
        <v>76</v>
      </c>
      <c r="CG6" t="s">
        <v>77</v>
      </c>
      <c r="CH6" t="s">
        <v>78</v>
      </c>
      <c r="CI6" t="s">
        <v>79</v>
      </c>
      <c r="CJ6" t="s">
        <v>80</v>
      </c>
      <c r="CK6" t="s">
        <v>81</v>
      </c>
      <c r="CL6" t="s">
        <v>82</v>
      </c>
      <c r="CM6" t="s">
        <v>83</v>
      </c>
      <c r="CN6" t="s">
        <v>84</v>
      </c>
      <c r="CO6" t="s">
        <v>85</v>
      </c>
      <c r="CP6" t="s">
        <v>86</v>
      </c>
      <c r="CQ6" t="s">
        <v>87</v>
      </c>
      <c r="CR6" t="s">
        <v>88</v>
      </c>
      <c r="CS6" t="s">
        <v>89</v>
      </c>
      <c r="CT6" t="s">
        <v>90</v>
      </c>
      <c r="CU6" t="s">
        <v>91</v>
      </c>
      <c r="CV6" t="s">
        <v>92</v>
      </c>
      <c r="CW6" t="s">
        <v>93</v>
      </c>
      <c r="CX6" t="s">
        <v>94</v>
      </c>
      <c r="CY6" t="s">
        <v>95</v>
      </c>
      <c r="CZ6" t="s">
        <v>96</v>
      </c>
      <c r="DA6" t="s">
        <v>97</v>
      </c>
      <c r="DB6" t="s">
        <v>98</v>
      </c>
      <c r="DC6" t="s">
        <v>99</v>
      </c>
      <c r="DD6" t="s">
        <v>100</v>
      </c>
      <c r="DE6" t="s">
        <v>101</v>
      </c>
      <c r="DF6" t="s">
        <v>102</v>
      </c>
      <c r="DG6" t="s">
        <v>103</v>
      </c>
      <c r="DH6" t="s">
        <v>104</v>
      </c>
      <c r="DI6" t="s">
        <v>105</v>
      </c>
      <c r="DJ6" t="s">
        <v>106</v>
      </c>
      <c r="DK6" t="s">
        <v>107</v>
      </c>
      <c r="DL6" t="s">
        <v>108</v>
      </c>
      <c r="DM6" t="s">
        <v>109</v>
      </c>
      <c r="DN6" t="s">
        <v>110</v>
      </c>
      <c r="DO6" t="s">
        <v>111</v>
      </c>
      <c r="DP6" t="s">
        <v>112</v>
      </c>
    </row>
    <row r="7" spans="1:124">
      <c r="A7" t="s">
        <v>114</v>
      </c>
      <c r="CI7" t="s">
        <v>116</v>
      </c>
      <c r="CJ7" t="s">
        <v>117</v>
      </c>
      <c r="CK7" t="s">
        <v>118</v>
      </c>
      <c r="CL7" t="s">
        <v>119</v>
      </c>
      <c r="CM7" t="s">
        <v>120</v>
      </c>
      <c r="CN7" t="s">
        <v>121</v>
      </c>
      <c r="CO7" t="s">
        <v>122</v>
      </c>
      <c r="CP7" t="s">
        <v>123</v>
      </c>
      <c r="CQ7" t="s">
        <v>124</v>
      </c>
      <c r="CR7" t="s">
        <v>125</v>
      </c>
      <c r="CS7" t="s">
        <v>126</v>
      </c>
      <c r="CT7" t="s">
        <v>127</v>
      </c>
      <c r="CU7" t="s">
        <v>128</v>
      </c>
      <c r="CV7" t="s">
        <v>129</v>
      </c>
      <c r="CW7" t="s">
        <v>130</v>
      </c>
      <c r="CX7" t="s">
        <v>131</v>
      </c>
      <c r="CY7" t="s">
        <v>132</v>
      </c>
      <c r="CZ7" t="s">
        <v>133</v>
      </c>
      <c r="DA7" t="s">
        <v>134</v>
      </c>
      <c r="DB7" t="s">
        <v>135</v>
      </c>
      <c r="DC7" t="s">
        <v>136</v>
      </c>
      <c r="DD7" t="s">
        <v>137</v>
      </c>
      <c r="DE7" t="s">
        <v>138</v>
      </c>
      <c r="DF7" t="s">
        <v>139</v>
      </c>
      <c r="DG7" t="s">
        <v>140</v>
      </c>
      <c r="DH7" t="s">
        <v>141</v>
      </c>
      <c r="DI7" t="s">
        <v>142</v>
      </c>
      <c r="DJ7" t="s">
        <v>143</v>
      </c>
      <c r="DK7" t="s">
        <v>144</v>
      </c>
      <c r="DL7" t="s">
        <v>145</v>
      </c>
      <c r="DM7" t="s">
        <v>146</v>
      </c>
      <c r="DN7" t="s">
        <v>147</v>
      </c>
      <c r="DO7" t="s">
        <v>148</v>
      </c>
      <c r="DP7" t="s">
        <v>149</v>
      </c>
      <c r="DQ7" t="s">
        <v>150</v>
      </c>
    </row>
    <row r="8" spans="1:124">
      <c r="A8" t="s">
        <v>115</v>
      </c>
      <c r="CD8">
        <v>6.5</v>
      </c>
      <c r="CE8">
        <v>6.7</v>
      </c>
      <c r="CF8">
        <v>6.8</v>
      </c>
      <c r="CG8">
        <v>6.8</v>
      </c>
      <c r="CH8">
        <v>6.9</v>
      </c>
      <c r="CI8">
        <v>6.9</v>
      </c>
      <c r="CJ8">
        <v>6.8</v>
      </c>
      <c r="CK8">
        <v>6.7</v>
      </c>
      <c r="CL8">
        <v>6.6</v>
      </c>
      <c r="CM8">
        <v>6.5</v>
      </c>
      <c r="CN8">
        <v>6.7</v>
      </c>
      <c r="CO8">
        <v>7</v>
      </c>
      <c r="CP8">
        <v>7.4</v>
      </c>
      <c r="CQ8">
        <v>7.6</v>
      </c>
      <c r="CR8">
        <v>7.7</v>
      </c>
      <c r="CS8">
        <v>7.7</v>
      </c>
      <c r="CT8">
        <v>7.7</v>
      </c>
      <c r="CU8">
        <v>7.7</v>
      </c>
      <c r="CV8">
        <v>7.6</v>
      </c>
      <c r="CW8">
        <v>7.5</v>
      </c>
      <c r="CX8">
        <v>7.3</v>
      </c>
      <c r="CY8">
        <v>7.2</v>
      </c>
      <c r="CZ8">
        <v>7.2</v>
      </c>
      <c r="DA8">
        <v>7.1</v>
      </c>
      <c r="DB8">
        <v>7</v>
      </c>
      <c r="DC8">
        <v>6.9</v>
      </c>
      <c r="DD8">
        <v>6.8</v>
      </c>
      <c r="DE8">
        <v>6.6</v>
      </c>
      <c r="DF8">
        <v>6.7</v>
      </c>
      <c r="DG8">
        <v>7.1</v>
      </c>
      <c r="DH8">
        <v>7</v>
      </c>
      <c r="DI8">
        <v>6.8</v>
      </c>
      <c r="DJ8">
        <v>6.7</v>
      </c>
      <c r="DK8">
        <v>6.8</v>
      </c>
      <c r="DL8">
        <v>6.8</v>
      </c>
      <c r="DM8">
        <v>6.7</v>
      </c>
      <c r="DN8">
        <v>6.7</v>
      </c>
      <c r="DO8">
        <v>6.7</v>
      </c>
      <c r="DP8">
        <v>6.7</v>
      </c>
      <c r="DQ8">
        <v>6.6</v>
      </c>
    </row>
    <row r="9" spans="1:124">
      <c r="A9" t="s">
        <v>151</v>
      </c>
      <c r="BO9" t="s">
        <v>152</v>
      </c>
      <c r="BP9" t="s">
        <v>153</v>
      </c>
      <c r="BQ9" t="s">
        <v>154</v>
      </c>
      <c r="BR9" t="s">
        <v>155</v>
      </c>
      <c r="BS9" t="s">
        <v>156</v>
      </c>
      <c r="BT9" t="s">
        <v>157</v>
      </c>
      <c r="BU9" t="s">
        <v>158</v>
      </c>
      <c r="BV9" t="s">
        <v>159</v>
      </c>
      <c r="BW9" t="s">
        <v>160</v>
      </c>
      <c r="BX9" t="s">
        <v>161</v>
      </c>
      <c r="BY9" t="s">
        <v>162</v>
      </c>
      <c r="BZ9" t="s">
        <v>163</v>
      </c>
      <c r="CA9" t="s">
        <v>164</v>
      </c>
      <c r="CB9" t="s">
        <v>165</v>
      </c>
      <c r="CC9" t="s">
        <v>166</v>
      </c>
      <c r="CD9" t="s">
        <v>167</v>
      </c>
      <c r="CE9" t="s">
        <v>168</v>
      </c>
      <c r="CF9" t="s">
        <v>169</v>
      </c>
      <c r="CG9" t="s">
        <v>170</v>
      </c>
      <c r="CH9" t="s">
        <v>171</v>
      </c>
      <c r="CI9" t="s">
        <v>165</v>
      </c>
      <c r="CJ9" t="s">
        <v>172</v>
      </c>
      <c r="CK9" t="s">
        <v>173</v>
      </c>
      <c r="CL9" t="s">
        <v>174</v>
      </c>
      <c r="CM9" t="s">
        <v>175</v>
      </c>
      <c r="CN9" t="s">
        <v>176</v>
      </c>
      <c r="CO9" t="s">
        <v>177</v>
      </c>
      <c r="CP9" t="s">
        <v>178</v>
      </c>
      <c r="CQ9" t="s">
        <v>179</v>
      </c>
      <c r="CR9">
        <v>1</v>
      </c>
      <c r="CS9" t="s">
        <v>180</v>
      </c>
      <c r="CT9" t="s">
        <v>181</v>
      </c>
      <c r="CU9" t="s">
        <v>182</v>
      </c>
      <c r="CV9" t="s">
        <v>183</v>
      </c>
      <c r="CW9" t="s">
        <v>184</v>
      </c>
      <c r="CX9" t="s">
        <v>185</v>
      </c>
      <c r="CY9" t="s">
        <v>186</v>
      </c>
      <c r="CZ9" t="s">
        <v>184</v>
      </c>
      <c r="DA9" t="s">
        <v>187</v>
      </c>
      <c r="DB9" t="s">
        <v>188</v>
      </c>
      <c r="DC9" t="s">
        <v>189</v>
      </c>
      <c r="DD9" t="s">
        <v>190</v>
      </c>
      <c r="DE9" t="s">
        <v>191</v>
      </c>
      <c r="DF9" t="s">
        <v>192</v>
      </c>
      <c r="DG9" t="s">
        <v>193</v>
      </c>
      <c r="DH9" t="s">
        <v>194</v>
      </c>
      <c r="DI9" t="s">
        <v>195</v>
      </c>
      <c r="DJ9" t="s">
        <v>196</v>
      </c>
      <c r="DK9" t="s">
        <v>197</v>
      </c>
      <c r="DL9" t="s">
        <v>198</v>
      </c>
      <c r="DM9" t="s">
        <v>199</v>
      </c>
      <c r="DN9" t="s">
        <v>200</v>
      </c>
      <c r="DO9" t="s">
        <v>201</v>
      </c>
      <c r="DP9" t="s">
        <v>202</v>
      </c>
      <c r="DQ9" t="s">
        <v>203</v>
      </c>
      <c r="DR9" t="s">
        <v>204</v>
      </c>
    </row>
    <row r="10" spans="1:124">
      <c r="A10" t="s">
        <v>205</v>
      </c>
      <c r="BV10">
        <v>1.4935064935064939</v>
      </c>
      <c r="BW10">
        <v>1.2445730824891466</v>
      </c>
      <c r="BX10">
        <v>1.3814095059704978</v>
      </c>
      <c r="BY10">
        <v>2.156334231805936</v>
      </c>
      <c r="BZ10">
        <v>1.921165948989731</v>
      </c>
      <c r="CA10">
        <v>2.0527005386519215</v>
      </c>
      <c r="CB10">
        <v>2.1682242990654172</v>
      </c>
      <c r="CC10">
        <v>2.3403796376186383</v>
      </c>
      <c r="CD10">
        <v>2.1747177493984755</v>
      </c>
      <c r="CE10">
        <v>3.1759458628114503</v>
      </c>
      <c r="CF10">
        <v>3.1793602189067731</v>
      </c>
      <c r="CG10">
        <v>4.1316123084015119</v>
      </c>
      <c r="CH10">
        <v>4.2263873575891031</v>
      </c>
      <c r="CI10">
        <v>4.5447910077368414</v>
      </c>
      <c r="CJ10">
        <v>4.6268245662352108</v>
      </c>
      <c r="CK10">
        <v>4.4163548100331429</v>
      </c>
      <c r="CL10">
        <v>4.334701377237927</v>
      </c>
      <c r="CM10">
        <v>4.6744442692732173</v>
      </c>
      <c r="CN10">
        <v>5.1825983579150536</v>
      </c>
      <c r="CO10">
        <v>5.3092425295343988</v>
      </c>
      <c r="CP10">
        <v>5.7670463765293762</v>
      </c>
      <c r="CQ10">
        <v>6.0566302556904921</v>
      </c>
      <c r="CR10">
        <v>6.3864853728883482</v>
      </c>
      <c r="CS10">
        <v>6.3613877877562048</v>
      </c>
      <c r="CT10">
        <v>6.5702229830306536</v>
      </c>
      <c r="CU10">
        <v>6.5523008075495257</v>
      </c>
      <c r="CV10">
        <v>6.6214766744866189</v>
      </c>
      <c r="CW10">
        <v>6.2214038844287032</v>
      </c>
      <c r="CX10">
        <v>6.1810539096890009</v>
      </c>
      <c r="CY10">
        <v>6.1482711719569449</v>
      </c>
      <c r="CZ10">
        <v>6.0456311479844853</v>
      </c>
      <c r="DA10">
        <v>5.7582656664440997</v>
      </c>
      <c r="DB10">
        <v>5.7279490160652555</v>
      </c>
      <c r="DC10">
        <v>5.6738140616529034</v>
      </c>
      <c r="DD10">
        <v>5.4360695323075099</v>
      </c>
      <c r="DE10">
        <v>5.5674493493288333</v>
      </c>
      <c r="DF10">
        <v>5.7719818151514088</v>
      </c>
      <c r="DG10">
        <v>4.9240268723593905</v>
      </c>
      <c r="DH10">
        <v>4.9820289356860483</v>
      </c>
      <c r="DI10">
        <v>5.4338468957077097</v>
      </c>
      <c r="DJ10">
        <v>5.1965741388796873</v>
      </c>
      <c r="DK10">
        <v>4.5943277141830707</v>
      </c>
      <c r="DL10">
        <v>4.3570569179151715</v>
      </c>
      <c r="DM10">
        <v>4.0515756759497705</v>
      </c>
      <c r="DN10">
        <v>3.7907200227344111</v>
      </c>
      <c r="DO10">
        <v>3.5768380098689012</v>
      </c>
      <c r="DP10">
        <v>3.5837304898555398</v>
      </c>
      <c r="DQ10">
        <v>3.056062243890846</v>
      </c>
    </row>
    <row r="11" spans="1:124">
      <c r="A11" t="s">
        <v>206</v>
      </c>
      <c r="AZ11">
        <v>2593791.5</v>
      </c>
      <c r="BA11">
        <v>2655761.25</v>
      </c>
      <c r="BB11">
        <v>2715599.25</v>
      </c>
      <c r="BC11">
        <v>2775168</v>
      </c>
      <c r="BD11">
        <v>2855737.5</v>
      </c>
      <c r="BE11">
        <v>2950121</v>
      </c>
      <c r="BF11">
        <v>3061268.25</v>
      </c>
      <c r="BG11">
        <v>3189814.5</v>
      </c>
      <c r="BH11">
        <v>3332971.75</v>
      </c>
      <c r="BI11">
        <v>3465297.75</v>
      </c>
      <c r="BJ11">
        <v>3638361.5</v>
      </c>
      <c r="BK11">
        <v>3812752.25</v>
      </c>
      <c r="BL11">
        <v>4006590.5</v>
      </c>
      <c r="BM11">
        <v>4212689.5</v>
      </c>
      <c r="BN11">
        <v>4451621</v>
      </c>
      <c r="BO11">
        <v>4688170.5</v>
      </c>
      <c r="BP11">
        <v>4947385.5</v>
      </c>
      <c r="BQ11">
        <v>5216563.5</v>
      </c>
      <c r="BR11">
        <v>5494700.5</v>
      </c>
      <c r="BS11">
        <v>5810064.5</v>
      </c>
      <c r="BT11">
        <v>6132885</v>
      </c>
      <c r="BU11">
        <v>6471339.5</v>
      </c>
      <c r="BV11">
        <v>6820245.5</v>
      </c>
      <c r="BW11">
        <v>7187111</v>
      </c>
      <c r="BX11">
        <v>7546950</v>
      </c>
      <c r="BY11">
        <v>7856808</v>
      </c>
      <c r="BZ11">
        <v>8160465</v>
      </c>
      <c r="CA11">
        <v>8441035</v>
      </c>
      <c r="CB11">
        <v>8720247</v>
      </c>
      <c r="CC11">
        <v>9000279</v>
      </c>
      <c r="CD11">
        <v>9281641</v>
      </c>
      <c r="CE11">
        <v>9541136</v>
      </c>
      <c r="CF11">
        <v>9781079</v>
      </c>
      <c r="CG11">
        <v>9990670</v>
      </c>
      <c r="CH11">
        <v>10184454</v>
      </c>
      <c r="CI11">
        <v>10379602</v>
      </c>
      <c r="CJ11">
        <v>10585801</v>
      </c>
      <c r="CK11">
        <v>10808423</v>
      </c>
      <c r="CL11">
        <v>11068552</v>
      </c>
      <c r="CM11">
        <v>11358359</v>
      </c>
      <c r="CN11">
        <v>11658941</v>
      </c>
      <c r="CO11">
        <v>11934365</v>
      </c>
      <c r="CP11">
        <v>12180696</v>
      </c>
      <c r="CQ11">
        <v>12374120</v>
      </c>
      <c r="CR11">
        <v>12566522</v>
      </c>
      <c r="CS11">
        <v>12755864</v>
      </c>
      <c r="CT11">
        <v>12937552</v>
      </c>
      <c r="CU11">
        <v>13110580</v>
      </c>
      <c r="CV11">
        <v>13309447</v>
      </c>
      <c r="CW11">
        <v>13542147</v>
      </c>
      <c r="CX11">
        <v>13801955</v>
      </c>
      <c r="CY11">
        <v>14057476</v>
      </c>
      <c r="CZ11">
        <v>14286074</v>
      </c>
      <c r="DA11">
        <v>14514070</v>
      </c>
      <c r="DB11">
        <v>14754241</v>
      </c>
      <c r="DC11">
        <v>15002391</v>
      </c>
      <c r="DD11">
        <v>15264812</v>
      </c>
      <c r="DE11">
        <v>15556713</v>
      </c>
      <c r="DF11">
        <v>15838762</v>
      </c>
      <c r="DG11">
        <v>16031712</v>
      </c>
      <c r="DH11">
        <v>16233568</v>
      </c>
      <c r="DI11">
        <v>16442443</v>
      </c>
      <c r="DJ11">
        <v>16643017</v>
      </c>
      <c r="DK11">
        <v>16827310</v>
      </c>
      <c r="DL11">
        <v>17002716</v>
      </c>
      <c r="DM11">
        <v>17175696</v>
      </c>
      <c r="DN11">
        <v>17357434</v>
      </c>
      <c r="DO11">
        <v>17562930</v>
      </c>
      <c r="DP11">
        <v>17778742</v>
      </c>
      <c r="DQ11">
        <v>18013436</v>
      </c>
    </row>
    <row r="12" spans="1:124">
      <c r="A12" t="s">
        <v>207</v>
      </c>
      <c r="BJ12">
        <v>22.575479352607079</v>
      </c>
      <c r="BK12">
        <v>23.919251600196947</v>
      </c>
      <c r="BL12">
        <v>23.702245808877798</v>
      </c>
      <c r="BM12">
        <v>24.541492930369628</v>
      </c>
      <c r="BN12">
        <v>25.455444844887289</v>
      </c>
      <c r="BO12">
        <v>25.830258302583026</v>
      </c>
      <c r="BP12">
        <v>26.145171805954654</v>
      </c>
      <c r="BQ12">
        <v>26.562063766821154</v>
      </c>
      <c r="BR12">
        <v>26.268644492900506</v>
      </c>
      <c r="BS12">
        <v>25.995407863588632</v>
      </c>
      <c r="BT12">
        <v>25.675030628967843</v>
      </c>
      <c r="BU12">
        <v>25.890921022597581</v>
      </c>
      <c r="BV12">
        <v>26.007911200291399</v>
      </c>
      <c r="BW12">
        <v>26.255884565029667</v>
      </c>
      <c r="BX12">
        <v>26.851891654367687</v>
      </c>
      <c r="BY12">
        <v>25.429886889721722</v>
      </c>
      <c r="BZ12">
        <v>24.995964961190261</v>
      </c>
      <c r="CA12">
        <v>24.101796895116472</v>
      </c>
      <c r="CB12">
        <v>23.657903417810477</v>
      </c>
      <c r="CC12">
        <v>23.586800934180456</v>
      </c>
      <c r="CD12">
        <v>24.428138211921997</v>
      </c>
      <c r="CE12">
        <v>23.91854662392031</v>
      </c>
      <c r="CF12">
        <v>23.245146239946486</v>
      </c>
      <c r="CG12">
        <v>21.940717465627074</v>
      </c>
      <c r="CH12">
        <v>21.294428807829938</v>
      </c>
      <c r="CI12">
        <v>21.180985866232717</v>
      </c>
      <c r="CJ12">
        <v>21.226227479634076</v>
      </c>
      <c r="CK12">
        <v>21.855340585034984</v>
      </c>
      <c r="CL12">
        <v>22.619283085553089</v>
      </c>
      <c r="CM12">
        <v>23.164891723271296</v>
      </c>
      <c r="CN12">
        <v>23.382652489782128</v>
      </c>
      <c r="CO12">
        <v>23.178422742407516</v>
      </c>
      <c r="CP12">
        <v>22.080880083962359</v>
      </c>
      <c r="CQ12">
        <v>20.706336204896335</v>
      </c>
      <c r="CR12">
        <v>20.423657920765645</v>
      </c>
      <c r="CS12">
        <v>20.074154150998996</v>
      </c>
      <c r="CT12">
        <v>19.860077651233844</v>
      </c>
      <c r="CU12">
        <v>19.519375731467996</v>
      </c>
      <c r="CV12">
        <v>19.901087065868971</v>
      </c>
      <c r="CW12">
        <v>20.809293939538858</v>
      </c>
      <c r="CX12">
        <v>21.514353249897706</v>
      </c>
      <c r="CY12">
        <v>21.513392276687039</v>
      </c>
      <c r="CZ12">
        <v>20.953389817165448</v>
      </c>
      <c r="DA12">
        <v>21.034840979084617</v>
      </c>
      <c r="DB12">
        <v>21.364609197432657</v>
      </c>
      <c r="DC12">
        <v>21.797435309373945</v>
      </c>
      <c r="DD12">
        <v>22.450708843595571</v>
      </c>
      <c r="DE12">
        <v>23.182665760085712</v>
      </c>
      <c r="DF12">
        <v>23.596050954135254</v>
      </c>
      <c r="DG12">
        <v>22.067503880868944</v>
      </c>
      <c r="DH12">
        <v>22.105419315196947</v>
      </c>
      <c r="DI12">
        <v>22.423870549935408</v>
      </c>
      <c r="DJ12">
        <v>22.458114787217948</v>
      </c>
      <c r="DK12">
        <v>22.041867778455302</v>
      </c>
      <c r="DL12">
        <v>21.819733784855554</v>
      </c>
      <c r="DM12">
        <v>21.499277666991748</v>
      </c>
      <c r="DN12">
        <v>21.8153025183416</v>
      </c>
      <c r="DO12">
        <v>22.495845017634188</v>
      </c>
      <c r="DP12">
        <v>22.892634301271187</v>
      </c>
      <c r="DQ12">
        <v>23.47738689344385</v>
      </c>
      <c r="DR12">
        <v>22.964748182694564</v>
      </c>
    </row>
    <row r="13" spans="1:124">
      <c r="A13" t="s">
        <v>208</v>
      </c>
      <c r="CS13" s="1">
        <v>89.361000000000004</v>
      </c>
      <c r="CT13" s="1">
        <v>96.096999999999994</v>
      </c>
      <c r="CU13" s="1">
        <v>98.936000000000007</v>
      </c>
      <c r="CV13" s="1">
        <v>101.85599999999999</v>
      </c>
      <c r="CW13" s="1">
        <v>105.97</v>
      </c>
      <c r="CX13" s="1">
        <v>107.164</v>
      </c>
      <c r="CY13" s="1">
        <v>108.581</v>
      </c>
      <c r="CZ13" s="1">
        <v>110.413</v>
      </c>
      <c r="DA13" s="1">
        <v>113.622</v>
      </c>
      <c r="DB13" s="1">
        <v>120.224</v>
      </c>
      <c r="DC13" s="1">
        <v>126.624</v>
      </c>
      <c r="DD13" s="1">
        <v>131.69300000000001</v>
      </c>
      <c r="DE13" s="1">
        <v>136.542</v>
      </c>
      <c r="DF13" s="1">
        <v>137.73699999999999</v>
      </c>
      <c r="DG13" s="1">
        <v>130.303</v>
      </c>
      <c r="DH13" s="1">
        <v>135.578</v>
      </c>
      <c r="DI13" s="1">
        <v>140.55199999999999</v>
      </c>
      <c r="DJ13" s="1">
        <v>142.52699999999999</v>
      </c>
      <c r="DK13" s="1">
        <v>144.49</v>
      </c>
      <c r="DL13" s="1">
        <v>148.45400000000001</v>
      </c>
      <c r="DM13" s="1">
        <v>151.68</v>
      </c>
      <c r="DN13" s="1">
        <v>154.49</v>
      </c>
      <c r="DO13" s="1">
        <v>162.011</v>
      </c>
      <c r="DP13" s="2">
        <v>167.72</v>
      </c>
      <c r="DQ13" s="1">
        <v>173.953</v>
      </c>
      <c r="DR13" s="1">
        <v>161.12200000000001</v>
      </c>
    </row>
    <row r="14" spans="1:124">
      <c r="A14" t="s">
        <v>209</v>
      </c>
      <c r="CX14">
        <v>9.5844774200000007</v>
      </c>
      <c r="CY14">
        <v>9.7056274400000007</v>
      </c>
      <c r="CZ14">
        <v>10.02218628</v>
      </c>
      <c r="DA14">
        <v>10.08283329</v>
      </c>
      <c r="DB14">
        <v>10.16429329</v>
      </c>
      <c r="DC14">
        <v>10.2148447</v>
      </c>
      <c r="DD14">
        <v>10.38566494</v>
      </c>
      <c r="DE14">
        <v>10.315644259999999</v>
      </c>
      <c r="DF14">
        <v>10.500846859999999</v>
      </c>
      <c r="DG14">
        <v>11.28756237</v>
      </c>
      <c r="DH14">
        <v>11.22560215</v>
      </c>
      <c r="DI14">
        <v>11.184976580000001</v>
      </c>
      <c r="DJ14">
        <v>11.297400469999999</v>
      </c>
      <c r="DK14">
        <v>11.416350359999999</v>
      </c>
      <c r="DL14">
        <v>11.54441643</v>
      </c>
      <c r="DM14">
        <v>11.447556499999999</v>
      </c>
      <c r="DN14">
        <v>11.47163677</v>
      </c>
      <c r="DO14">
        <v>11.33276176</v>
      </c>
      <c r="DP14">
        <v>11.18583012</v>
      </c>
      <c r="DQ14">
        <v>11.05747223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5D50-6BA2-B64C-B3A1-51554843F393}">
  <dimension ref="A1:N124"/>
  <sheetViews>
    <sheetView topLeftCell="A100" workbookViewId="0">
      <selection activeCell="N122" sqref="N122"/>
    </sheetView>
  </sheetViews>
  <sheetFormatPr baseColWidth="10" defaultRowHeight="16"/>
  <cols>
    <col min="2" max="2" width="12.83203125" bestFit="1" customWidth="1"/>
    <col min="3" max="3" width="11" bestFit="1" customWidth="1"/>
    <col min="4" max="4" width="15.83203125" bestFit="1" customWidth="1"/>
    <col min="5" max="5" width="13.1640625" bestFit="1" customWidth="1"/>
    <col min="6" max="6" width="15.6640625" bestFit="1" customWidth="1"/>
    <col min="8" max="8" width="17" bestFit="1" customWidth="1"/>
    <col min="9" max="9" width="11.6640625" bestFit="1" customWidth="1"/>
    <col min="10" max="10" width="14.5" bestFit="1" customWidth="1"/>
  </cols>
  <sheetData>
    <row r="1" spans="1:14">
      <c r="A1" t="s">
        <v>0</v>
      </c>
      <c r="B1" t="s">
        <v>1</v>
      </c>
      <c r="C1" t="s">
        <v>45</v>
      </c>
      <c r="D1" t="s">
        <v>46</v>
      </c>
      <c r="E1" t="s">
        <v>47</v>
      </c>
      <c r="F1" t="s">
        <v>113</v>
      </c>
      <c r="G1" t="s">
        <v>114</v>
      </c>
      <c r="H1" t="s">
        <v>115</v>
      </c>
      <c r="I1" t="s">
        <v>151</v>
      </c>
      <c r="J1" t="s">
        <v>205</v>
      </c>
      <c r="K1" t="s">
        <v>206</v>
      </c>
      <c r="L1" t="s">
        <v>207</v>
      </c>
      <c r="M1" t="s">
        <v>208</v>
      </c>
      <c r="N1" t="s">
        <v>209</v>
      </c>
    </row>
    <row r="2" spans="1:14">
      <c r="A2">
        <v>1900</v>
      </c>
    </row>
    <row r="3" spans="1:14">
      <c r="A3">
        <v>1901</v>
      </c>
    </row>
    <row r="4" spans="1:14">
      <c r="A4">
        <v>1902</v>
      </c>
    </row>
    <row r="5" spans="1:14">
      <c r="A5">
        <v>1903</v>
      </c>
    </row>
    <row r="6" spans="1:14">
      <c r="A6">
        <v>1904</v>
      </c>
    </row>
    <row r="7" spans="1:14">
      <c r="A7">
        <v>1905</v>
      </c>
    </row>
    <row r="8" spans="1:14">
      <c r="A8">
        <v>1906</v>
      </c>
    </row>
    <row r="9" spans="1:14">
      <c r="A9">
        <v>1907</v>
      </c>
    </row>
    <row r="10" spans="1:14">
      <c r="A10">
        <v>1908</v>
      </c>
    </row>
    <row r="11" spans="1:14">
      <c r="A11">
        <v>1909</v>
      </c>
    </row>
    <row r="12" spans="1:14">
      <c r="A12">
        <v>1910</v>
      </c>
    </row>
    <row r="13" spans="1:14">
      <c r="A13">
        <v>1911</v>
      </c>
    </row>
    <row r="14" spans="1:14">
      <c r="A14">
        <v>1912</v>
      </c>
    </row>
    <row r="15" spans="1:14">
      <c r="A15">
        <v>1913</v>
      </c>
    </row>
    <row r="16" spans="1:14">
      <c r="A16">
        <v>1914</v>
      </c>
    </row>
    <row r="17" spans="1:1">
      <c r="A17">
        <v>1915</v>
      </c>
    </row>
    <row r="18" spans="1:1">
      <c r="A18">
        <v>1916</v>
      </c>
    </row>
    <row r="19" spans="1:1">
      <c r="A19">
        <v>1917</v>
      </c>
    </row>
    <row r="20" spans="1:1">
      <c r="A20">
        <v>1918</v>
      </c>
    </row>
    <row r="21" spans="1:1">
      <c r="A21">
        <v>1919</v>
      </c>
    </row>
    <row r="22" spans="1:1">
      <c r="A22">
        <v>1920</v>
      </c>
    </row>
    <row r="23" spans="1:1">
      <c r="A23">
        <v>1921</v>
      </c>
    </row>
    <row r="24" spans="1:1">
      <c r="A24">
        <v>1922</v>
      </c>
    </row>
    <row r="25" spans="1:1">
      <c r="A25">
        <v>1923</v>
      </c>
    </row>
    <row r="26" spans="1:1">
      <c r="A26">
        <v>1924</v>
      </c>
    </row>
    <row r="27" spans="1:1">
      <c r="A27">
        <v>1925</v>
      </c>
    </row>
    <row r="28" spans="1:1">
      <c r="A28">
        <v>1926</v>
      </c>
    </row>
    <row r="29" spans="1:1">
      <c r="A29">
        <v>1927</v>
      </c>
    </row>
    <row r="30" spans="1:1">
      <c r="A30">
        <v>1928</v>
      </c>
    </row>
    <row r="31" spans="1:1">
      <c r="A31">
        <v>1929</v>
      </c>
    </row>
    <row r="32" spans="1:1">
      <c r="A32">
        <v>1930</v>
      </c>
    </row>
    <row r="33" spans="1:1">
      <c r="A33">
        <v>1931</v>
      </c>
    </row>
    <row r="34" spans="1:1">
      <c r="A34">
        <v>1932</v>
      </c>
    </row>
    <row r="35" spans="1:1">
      <c r="A35">
        <v>1933</v>
      </c>
    </row>
    <row r="36" spans="1:1">
      <c r="A36">
        <v>1934</v>
      </c>
    </row>
    <row r="37" spans="1:1">
      <c r="A37">
        <v>1935</v>
      </c>
    </row>
    <row r="38" spans="1:1">
      <c r="A38">
        <v>1936</v>
      </c>
    </row>
    <row r="39" spans="1:1">
      <c r="A39">
        <v>1937</v>
      </c>
    </row>
    <row r="40" spans="1:1">
      <c r="A40">
        <v>1938</v>
      </c>
    </row>
    <row r="41" spans="1:1">
      <c r="A41">
        <v>1939</v>
      </c>
    </row>
    <row r="42" spans="1:1">
      <c r="A42">
        <v>1940</v>
      </c>
    </row>
    <row r="43" spans="1:1">
      <c r="A43">
        <v>1941</v>
      </c>
    </row>
    <row r="44" spans="1:1">
      <c r="A44">
        <v>1942</v>
      </c>
    </row>
    <row r="45" spans="1:1">
      <c r="A45">
        <v>1943</v>
      </c>
    </row>
    <row r="46" spans="1:1">
      <c r="A46">
        <v>1944</v>
      </c>
    </row>
    <row r="47" spans="1:1">
      <c r="A47">
        <v>1945</v>
      </c>
    </row>
    <row r="48" spans="1:1">
      <c r="A48">
        <v>1946</v>
      </c>
    </row>
    <row r="49" spans="1:12">
      <c r="A49">
        <v>1947</v>
      </c>
    </row>
    <row r="50" spans="1:12">
      <c r="A50">
        <v>1948</v>
      </c>
    </row>
    <row r="51" spans="1:12">
      <c r="A51">
        <v>1949</v>
      </c>
    </row>
    <row r="52" spans="1:12">
      <c r="A52">
        <v>1950</v>
      </c>
      <c r="K52">
        <v>2593791.5</v>
      </c>
    </row>
    <row r="53" spans="1:12">
      <c r="A53">
        <v>1951</v>
      </c>
      <c r="K53">
        <v>2655761.25</v>
      </c>
    </row>
    <row r="54" spans="1:12">
      <c r="A54">
        <v>1952</v>
      </c>
      <c r="K54">
        <v>2715599.25</v>
      </c>
    </row>
    <row r="55" spans="1:12">
      <c r="A55">
        <v>1953</v>
      </c>
      <c r="K55">
        <v>2775168</v>
      </c>
    </row>
    <row r="56" spans="1:12">
      <c r="A56">
        <v>1954</v>
      </c>
      <c r="K56">
        <v>2855737.5</v>
      </c>
    </row>
    <row r="57" spans="1:12">
      <c r="A57">
        <v>1955</v>
      </c>
      <c r="K57">
        <v>2950121</v>
      </c>
    </row>
    <row r="58" spans="1:12">
      <c r="A58">
        <v>1956</v>
      </c>
      <c r="K58">
        <v>3061268.25</v>
      </c>
    </row>
    <row r="59" spans="1:12">
      <c r="A59">
        <v>1957</v>
      </c>
      <c r="K59">
        <v>3189814.5</v>
      </c>
    </row>
    <row r="60" spans="1:12">
      <c r="A60">
        <v>1958</v>
      </c>
      <c r="K60">
        <v>3332971.75</v>
      </c>
    </row>
    <row r="61" spans="1:12">
      <c r="A61">
        <v>1959</v>
      </c>
      <c r="K61">
        <v>3465297.75</v>
      </c>
    </row>
    <row r="62" spans="1:12">
      <c r="A62">
        <v>1960</v>
      </c>
      <c r="C62">
        <v>5</v>
      </c>
      <c r="D62">
        <v>34.686264922353601</v>
      </c>
      <c r="K62">
        <v>3638361.5</v>
      </c>
      <c r="L62">
        <v>22.575479352607079</v>
      </c>
    </row>
    <row r="63" spans="1:12">
      <c r="A63">
        <v>1961</v>
      </c>
      <c r="C63">
        <v>5.8</v>
      </c>
      <c r="D63">
        <v>36.033835882185002</v>
      </c>
      <c r="K63">
        <v>3812752.25</v>
      </c>
      <c r="L63">
        <v>23.919251600196947</v>
      </c>
    </row>
    <row r="64" spans="1:12">
      <c r="A64">
        <v>1962</v>
      </c>
      <c r="C64">
        <v>7.4</v>
      </c>
      <c r="D64">
        <v>37.175276464210299</v>
      </c>
      <c r="K64">
        <v>4006590.5</v>
      </c>
      <c r="L64">
        <v>23.702245808877798</v>
      </c>
    </row>
    <row r="65" spans="1:12">
      <c r="A65">
        <v>1963</v>
      </c>
      <c r="C65">
        <v>7.2</v>
      </c>
      <c r="D65">
        <v>37.936407413909897</v>
      </c>
      <c r="K65">
        <v>4212689.5</v>
      </c>
      <c r="L65">
        <v>24.541492930369628</v>
      </c>
    </row>
    <row r="66" spans="1:12">
      <c r="A66">
        <v>1964</v>
      </c>
      <c r="C66">
        <v>5.5</v>
      </c>
      <c r="D66">
        <v>38.368911401564802</v>
      </c>
      <c r="K66">
        <v>4451621</v>
      </c>
      <c r="L66">
        <v>25.455444844887289</v>
      </c>
    </row>
    <row r="67" spans="1:12">
      <c r="A67">
        <v>1965</v>
      </c>
      <c r="C67">
        <v>3.9</v>
      </c>
      <c r="D67">
        <v>39.098688859229</v>
      </c>
      <c r="I67">
        <v>1.556</v>
      </c>
      <c r="K67">
        <v>4688170.5</v>
      </c>
      <c r="L67">
        <v>25.830258302583026</v>
      </c>
    </row>
    <row r="68" spans="1:12">
      <c r="A68">
        <v>1966</v>
      </c>
      <c r="C68">
        <v>4.8</v>
      </c>
      <c r="D68">
        <v>39.2752965266777</v>
      </c>
      <c r="I68">
        <v>1.546</v>
      </c>
      <c r="K68">
        <v>4947385.5</v>
      </c>
      <c r="L68">
        <v>26.145171805954654</v>
      </c>
    </row>
    <row r="69" spans="1:12">
      <c r="A69">
        <v>1967</v>
      </c>
      <c r="C69">
        <v>5</v>
      </c>
      <c r="D69">
        <v>39.940811882293801</v>
      </c>
      <c r="I69">
        <v>1.57</v>
      </c>
      <c r="K69">
        <v>5216563.5</v>
      </c>
      <c r="L69">
        <v>26.562063766821154</v>
      </c>
    </row>
    <row r="70" spans="1:12">
      <c r="A70">
        <v>1968</v>
      </c>
      <c r="C70">
        <v>4.3</v>
      </c>
      <c r="D70">
        <v>41.889495839612103</v>
      </c>
      <c r="I70">
        <v>1.4830000000000001</v>
      </c>
      <c r="K70">
        <v>5494700.5</v>
      </c>
      <c r="L70">
        <v>26.268644492900506</v>
      </c>
    </row>
    <row r="71" spans="1:12">
      <c r="A71">
        <v>1969</v>
      </c>
      <c r="C71">
        <v>6.4</v>
      </c>
      <c r="D71">
        <v>40.738374131630799</v>
      </c>
      <c r="I71">
        <v>0.45700000000000002</v>
      </c>
      <c r="K71">
        <v>5810064.5</v>
      </c>
      <c r="L71">
        <v>25.995407863588632</v>
      </c>
    </row>
    <row r="72" spans="1:12">
      <c r="A72">
        <v>1970</v>
      </c>
      <c r="C72">
        <v>4.5</v>
      </c>
      <c r="D72">
        <v>40.022848378099297</v>
      </c>
      <c r="I72">
        <v>0.40500000000000003</v>
      </c>
      <c r="K72">
        <v>6132885</v>
      </c>
      <c r="L72">
        <v>25.675030628967843</v>
      </c>
    </row>
    <row r="73" spans="1:12">
      <c r="A73">
        <v>1971</v>
      </c>
      <c r="C73">
        <v>5.6</v>
      </c>
      <c r="D73">
        <v>39.647712212234303</v>
      </c>
      <c r="I73">
        <v>0.42699999999999999</v>
      </c>
      <c r="K73">
        <v>6471339.5</v>
      </c>
      <c r="L73">
        <v>25.890921022597581</v>
      </c>
    </row>
    <row r="74" spans="1:12">
      <c r="A74">
        <v>1972</v>
      </c>
      <c r="C74">
        <v>5.2</v>
      </c>
      <c r="D74">
        <v>39.447929640296699</v>
      </c>
      <c r="I74">
        <v>0.45900000000000002</v>
      </c>
      <c r="J74">
        <v>1.4935064935064939</v>
      </c>
      <c r="K74">
        <v>6820245.5</v>
      </c>
      <c r="L74">
        <v>26.007911200291399</v>
      </c>
    </row>
    <row r="75" spans="1:12">
      <c r="A75">
        <v>1973</v>
      </c>
      <c r="C75">
        <v>5.7</v>
      </c>
      <c r="D75">
        <v>39.353141476763703</v>
      </c>
      <c r="I75">
        <v>0.52100000000000002</v>
      </c>
      <c r="J75">
        <v>1.2445730824891466</v>
      </c>
      <c r="K75">
        <v>7187111</v>
      </c>
      <c r="L75">
        <v>26.255884565029667</v>
      </c>
    </row>
    <row r="76" spans="1:12">
      <c r="A76">
        <v>1974</v>
      </c>
      <c r="C76">
        <v>2.8</v>
      </c>
      <c r="D76">
        <v>39.757364442905399</v>
      </c>
      <c r="I76">
        <v>0.54200000000000004</v>
      </c>
      <c r="J76">
        <v>1.3814095059704978</v>
      </c>
      <c r="K76">
        <v>7546950</v>
      </c>
      <c r="L76">
        <v>26.851891654367687</v>
      </c>
    </row>
    <row r="77" spans="1:12">
      <c r="A77">
        <v>1975</v>
      </c>
      <c r="C77">
        <v>2</v>
      </c>
      <c r="D77">
        <v>44.5233936475097</v>
      </c>
      <c r="I77">
        <v>0.67900000000000005</v>
      </c>
      <c r="J77">
        <v>2.156334231805936</v>
      </c>
      <c r="K77">
        <v>7856808</v>
      </c>
      <c r="L77">
        <v>25.429886889721722</v>
      </c>
    </row>
    <row r="78" spans="1:12">
      <c r="A78">
        <v>1976</v>
      </c>
      <c r="C78">
        <v>5.6</v>
      </c>
      <c r="D78">
        <v>44.988881625813697</v>
      </c>
      <c r="I78">
        <v>0.72799999999999998</v>
      </c>
      <c r="J78">
        <v>1.921165948989731</v>
      </c>
      <c r="K78">
        <v>8160465</v>
      </c>
      <c r="L78">
        <v>24.995964961190261</v>
      </c>
    </row>
    <row r="79" spans="1:12">
      <c r="A79">
        <v>1977</v>
      </c>
      <c r="C79">
        <v>2.6</v>
      </c>
      <c r="D79">
        <v>44.192291633597598</v>
      </c>
      <c r="I79">
        <v>0.81499999999999995</v>
      </c>
      <c r="J79">
        <v>2.0527005386519215</v>
      </c>
      <c r="K79">
        <v>8441035</v>
      </c>
      <c r="L79">
        <v>24.101796895116472</v>
      </c>
    </row>
    <row r="80" spans="1:12">
      <c r="A80">
        <v>1978</v>
      </c>
      <c r="B80">
        <v>-1.7968245772557101</v>
      </c>
      <c r="C80">
        <v>3.9</v>
      </c>
      <c r="D80">
        <v>45.196498721370702</v>
      </c>
      <c r="I80">
        <v>0.86499999999999999</v>
      </c>
      <c r="J80">
        <v>2.1682242990654172</v>
      </c>
      <c r="K80">
        <v>8720247</v>
      </c>
      <c r="L80">
        <v>23.657903417810477</v>
      </c>
    </row>
    <row r="81" spans="1:12">
      <c r="A81">
        <v>1979</v>
      </c>
      <c r="B81">
        <v>-0.48215765550840001</v>
      </c>
      <c r="C81">
        <v>3.4</v>
      </c>
      <c r="D81">
        <v>45.4717588567635</v>
      </c>
      <c r="I81">
        <v>0.83099999999999996</v>
      </c>
      <c r="J81">
        <v>2.3403796376186383</v>
      </c>
      <c r="K81">
        <v>9000279</v>
      </c>
      <c r="L81">
        <v>23.586800934180456</v>
      </c>
    </row>
    <row r="82" spans="1:12">
      <c r="A82">
        <v>1980</v>
      </c>
      <c r="B82">
        <v>-0.42853664475286102</v>
      </c>
      <c r="C82">
        <v>1.2</v>
      </c>
      <c r="D82">
        <v>46.404576132860498</v>
      </c>
      <c r="F82">
        <v>9.25</v>
      </c>
      <c r="H82">
        <v>6.5</v>
      </c>
      <c r="I82">
        <v>0.871</v>
      </c>
      <c r="J82">
        <v>2.1747177493984755</v>
      </c>
      <c r="K82">
        <v>9281641</v>
      </c>
      <c r="L82">
        <v>24.428138211921997</v>
      </c>
    </row>
    <row r="83" spans="1:12">
      <c r="A83">
        <v>1981</v>
      </c>
      <c r="B83">
        <v>-2.4075217898565602</v>
      </c>
      <c r="C83">
        <v>2</v>
      </c>
      <c r="D83">
        <v>48.9572934749296</v>
      </c>
      <c r="F83">
        <v>9.5109999999999992</v>
      </c>
      <c r="H83">
        <v>6.7</v>
      </c>
      <c r="I83">
        <v>0.879</v>
      </c>
      <c r="J83">
        <v>3.1759458628114503</v>
      </c>
      <c r="K83">
        <v>9541136</v>
      </c>
      <c r="L83">
        <v>23.91854662392031</v>
      </c>
    </row>
    <row r="84" spans="1:12">
      <c r="A84">
        <v>1982</v>
      </c>
      <c r="B84">
        <v>-2.83691332089851</v>
      </c>
      <c r="C84">
        <v>3.3</v>
      </c>
      <c r="D84">
        <v>48.9572934749296</v>
      </c>
      <c r="F84">
        <v>9.7129999999999992</v>
      </c>
      <c r="H84">
        <v>6.8</v>
      </c>
      <c r="I84">
        <v>0.90900000000000003</v>
      </c>
      <c r="J84">
        <v>3.1793602189067731</v>
      </c>
      <c r="K84">
        <v>9781079</v>
      </c>
      <c r="L84">
        <v>23.245146239946486</v>
      </c>
    </row>
    <row r="85" spans="1:12">
      <c r="A85">
        <v>1983</v>
      </c>
      <c r="B85">
        <v>-2.5407678874486601</v>
      </c>
      <c r="C85">
        <v>0.8</v>
      </c>
      <c r="D85">
        <v>50.744305565889299</v>
      </c>
      <c r="F85">
        <v>9.8829999999999991</v>
      </c>
      <c r="H85">
        <v>6.8</v>
      </c>
      <c r="I85">
        <v>0.92400000000000004</v>
      </c>
      <c r="J85">
        <v>4.1316123084015119</v>
      </c>
      <c r="K85">
        <v>9990670</v>
      </c>
      <c r="L85">
        <v>21.940717465627074</v>
      </c>
    </row>
    <row r="86" spans="1:12">
      <c r="A86">
        <v>1984</v>
      </c>
      <c r="B86">
        <v>-2.7359517983678199</v>
      </c>
      <c r="C86">
        <v>0.7</v>
      </c>
      <c r="D86">
        <v>51.673649872650302</v>
      </c>
      <c r="F86">
        <v>10.108000000000001</v>
      </c>
      <c r="H86">
        <v>6.9</v>
      </c>
      <c r="I86">
        <v>0.97299999999999998</v>
      </c>
      <c r="J86">
        <v>4.2263873575891031</v>
      </c>
      <c r="K86">
        <v>10184454</v>
      </c>
      <c r="L86">
        <v>21.294428807829938</v>
      </c>
    </row>
    <row r="87" spans="1:12">
      <c r="A87">
        <v>1985</v>
      </c>
      <c r="B87">
        <v>-2.97245967672752</v>
      </c>
      <c r="C87">
        <v>1.9</v>
      </c>
      <c r="D87">
        <v>52.311679734688099</v>
      </c>
      <c r="F87">
        <v>10.298</v>
      </c>
      <c r="G87">
        <v>2.5006330000000001</v>
      </c>
      <c r="H87">
        <v>6.9</v>
      </c>
      <c r="I87">
        <v>0.86499999999999999</v>
      </c>
      <c r="J87">
        <v>4.5447910077368414</v>
      </c>
      <c r="K87">
        <v>10379602</v>
      </c>
      <c r="L87">
        <v>21.180985866232717</v>
      </c>
    </row>
    <row r="88" spans="1:12">
      <c r="A88">
        <v>1986</v>
      </c>
      <c r="B88">
        <v>-3.1974131962347001</v>
      </c>
      <c r="C88">
        <v>3.7</v>
      </c>
      <c r="D88">
        <v>51.901304216899597</v>
      </c>
      <c r="F88">
        <v>10.271000000000001</v>
      </c>
      <c r="G88">
        <v>1.3005880000000001</v>
      </c>
      <c r="H88">
        <v>6.8</v>
      </c>
      <c r="I88">
        <v>0.83599999999999997</v>
      </c>
      <c r="J88">
        <v>4.6268245662352108</v>
      </c>
      <c r="K88">
        <v>10585801</v>
      </c>
      <c r="L88">
        <v>21.226227479634076</v>
      </c>
    </row>
    <row r="89" spans="1:12">
      <c r="A89">
        <v>1987</v>
      </c>
      <c r="B89">
        <v>-2.01429233991797</v>
      </c>
      <c r="C89">
        <v>3.2</v>
      </c>
      <c r="D89">
        <v>51.318800171872702</v>
      </c>
      <c r="F89">
        <v>10.288</v>
      </c>
      <c r="G89">
        <v>0.39613399999999999</v>
      </c>
      <c r="H89">
        <v>6.7</v>
      </c>
      <c r="I89">
        <v>0.82399999999999995</v>
      </c>
      <c r="J89">
        <v>4.4163548100331429</v>
      </c>
      <c r="K89">
        <v>10808423</v>
      </c>
      <c r="L89">
        <v>21.855340585034984</v>
      </c>
    </row>
    <row r="90" spans="1:12">
      <c r="A90">
        <v>1988</v>
      </c>
      <c r="B90">
        <v>-2.56437692860578</v>
      </c>
      <c r="C90">
        <v>3.3</v>
      </c>
      <c r="D90">
        <v>50.643677276378497</v>
      </c>
      <c r="F90">
        <v>10.364000000000001</v>
      </c>
      <c r="G90">
        <v>2.4257749999999998</v>
      </c>
      <c r="H90">
        <v>6.6</v>
      </c>
      <c r="I90">
        <v>0.75700000000000001</v>
      </c>
      <c r="J90">
        <v>4.334701377237927</v>
      </c>
      <c r="K90">
        <v>11068552</v>
      </c>
      <c r="L90">
        <v>22.619283085553089</v>
      </c>
    </row>
    <row r="91" spans="1:12">
      <c r="A91">
        <v>1989</v>
      </c>
      <c r="B91">
        <v>-1.7822310431732999</v>
      </c>
      <c r="C91">
        <v>3.2</v>
      </c>
      <c r="D91">
        <v>49.472942496034598</v>
      </c>
      <c r="F91">
        <v>9.8450000000000006</v>
      </c>
      <c r="G91">
        <v>2.4619200000000001</v>
      </c>
      <c r="H91">
        <v>6.5</v>
      </c>
      <c r="I91">
        <v>0.77500000000000002</v>
      </c>
      <c r="J91">
        <v>4.6744442692732173</v>
      </c>
      <c r="K91">
        <v>11358359</v>
      </c>
      <c r="L91">
        <v>23.164891723271296</v>
      </c>
    </row>
    <row r="92" spans="1:12">
      <c r="A92">
        <v>1990</v>
      </c>
      <c r="B92">
        <v>-2.4339706097313298</v>
      </c>
      <c r="C92">
        <v>2.5</v>
      </c>
      <c r="D92">
        <v>50.132239174080397</v>
      </c>
      <c r="F92">
        <v>10.42</v>
      </c>
      <c r="G92">
        <v>1.2034879999999999</v>
      </c>
      <c r="H92">
        <v>6.7</v>
      </c>
      <c r="I92">
        <v>0.78300000000000003</v>
      </c>
      <c r="J92">
        <v>5.1825983579150536</v>
      </c>
      <c r="K92">
        <v>11658941</v>
      </c>
      <c r="L92">
        <v>23.382652489782128</v>
      </c>
    </row>
    <row r="93" spans="1:12">
      <c r="A93">
        <v>1991</v>
      </c>
      <c r="B93">
        <v>-2.8630445037807801</v>
      </c>
      <c r="C93">
        <v>0.6</v>
      </c>
      <c r="D93">
        <v>51.271533743725001</v>
      </c>
      <c r="F93">
        <v>10.69</v>
      </c>
      <c r="G93">
        <v>8.8880000000000001E-3</v>
      </c>
      <c r="H93">
        <v>7</v>
      </c>
      <c r="I93">
        <v>0.79200000000000004</v>
      </c>
      <c r="J93">
        <v>5.3092425295343988</v>
      </c>
      <c r="K93">
        <v>11934365</v>
      </c>
      <c r="L93">
        <v>23.178422742407516</v>
      </c>
    </row>
    <row r="94" spans="1:12">
      <c r="A94">
        <v>1992</v>
      </c>
      <c r="B94">
        <v>-4.6012185859557597</v>
      </c>
      <c r="C94">
        <v>0.9</v>
      </c>
      <c r="D94">
        <v>52.591222824313803</v>
      </c>
      <c r="F94">
        <v>11.012</v>
      </c>
      <c r="G94">
        <v>1.0777270000000001</v>
      </c>
      <c r="H94">
        <v>7.4</v>
      </c>
      <c r="I94">
        <v>0.877</v>
      </c>
      <c r="J94">
        <v>5.7670463765293762</v>
      </c>
      <c r="K94">
        <v>12180696</v>
      </c>
      <c r="L94">
        <v>22.080880083962359</v>
      </c>
    </row>
    <row r="95" spans="1:12">
      <c r="A95">
        <v>1993</v>
      </c>
      <c r="B95">
        <v>-6.3587944863889003</v>
      </c>
      <c r="C95">
        <v>-0.1</v>
      </c>
      <c r="D95">
        <v>55.204516869309103</v>
      </c>
      <c r="F95">
        <v>11.5</v>
      </c>
      <c r="G95">
        <v>-0.31171100000000002</v>
      </c>
      <c r="H95">
        <v>7.6</v>
      </c>
      <c r="I95">
        <v>0.93899999999999995</v>
      </c>
      <c r="J95">
        <v>6.0566302556904921</v>
      </c>
      <c r="K95">
        <v>12374120</v>
      </c>
      <c r="L95">
        <v>20.706336204896335</v>
      </c>
    </row>
    <row r="96" spans="1:12">
      <c r="A96">
        <v>1994</v>
      </c>
      <c r="B96">
        <v>-5.4228993606906499</v>
      </c>
      <c r="C96">
        <v>1.6</v>
      </c>
      <c r="D96">
        <v>54.6253048330613</v>
      </c>
      <c r="F96">
        <v>11.625</v>
      </c>
      <c r="G96">
        <v>1.3104260000000001</v>
      </c>
      <c r="H96">
        <v>7.7</v>
      </c>
      <c r="I96">
        <v>1</v>
      </c>
      <c r="J96">
        <v>6.3864853728883482</v>
      </c>
      <c r="K96">
        <v>12566522</v>
      </c>
      <c r="L96">
        <v>20.423657920765645</v>
      </c>
    </row>
    <row r="97" spans="1:14">
      <c r="A97">
        <v>1995</v>
      </c>
      <c r="B97">
        <v>-5.1085429948788201</v>
      </c>
      <c r="C97">
        <v>1.6</v>
      </c>
      <c r="D97">
        <v>54.808833425294097</v>
      </c>
      <c r="E97">
        <v>67.290419999999997</v>
      </c>
      <c r="F97">
        <v>11.801</v>
      </c>
      <c r="G97">
        <v>1.565742</v>
      </c>
      <c r="H97">
        <v>7.7</v>
      </c>
      <c r="I97">
        <v>1.052</v>
      </c>
      <c r="J97">
        <v>6.3613877877562048</v>
      </c>
      <c r="K97">
        <v>12755864</v>
      </c>
      <c r="L97">
        <v>20.074154150998996</v>
      </c>
      <c r="M97">
        <v>89.361000000000004</v>
      </c>
    </row>
    <row r="98" spans="1:14">
      <c r="A98">
        <v>1996</v>
      </c>
      <c r="B98">
        <v>-3.9058794217841899</v>
      </c>
      <c r="C98">
        <v>1.9</v>
      </c>
      <c r="D98">
        <v>54.881013650859202</v>
      </c>
      <c r="E98">
        <v>73.291370000000001</v>
      </c>
      <c r="F98">
        <v>11.933999999999999</v>
      </c>
      <c r="G98">
        <v>0.33769900000000003</v>
      </c>
      <c r="H98">
        <v>7.7</v>
      </c>
      <c r="I98">
        <v>1.0780000000000001</v>
      </c>
      <c r="J98">
        <v>6.5702229830306536</v>
      </c>
      <c r="K98">
        <v>12937552</v>
      </c>
      <c r="L98">
        <v>19.860077651233844</v>
      </c>
      <c r="M98">
        <v>96.096999999999994</v>
      </c>
    </row>
    <row r="99" spans="1:14">
      <c r="A99">
        <v>1997</v>
      </c>
      <c r="B99">
        <v>-3.6528341701623699</v>
      </c>
      <c r="C99">
        <v>0.5</v>
      </c>
      <c r="D99">
        <v>54.530599982100597</v>
      </c>
      <c r="E99">
        <v>75.952550000000002</v>
      </c>
      <c r="F99">
        <v>11.916</v>
      </c>
      <c r="G99">
        <v>0.964785</v>
      </c>
      <c r="H99">
        <v>7.7</v>
      </c>
      <c r="I99">
        <v>1.117</v>
      </c>
      <c r="J99">
        <v>6.5523008075495257</v>
      </c>
      <c r="K99">
        <v>13110580</v>
      </c>
      <c r="L99">
        <v>19.519375731467996</v>
      </c>
      <c r="M99">
        <v>98.936000000000007</v>
      </c>
    </row>
    <row r="100" spans="1:14">
      <c r="A100">
        <v>1998</v>
      </c>
      <c r="B100">
        <v>-2.3784373945924799</v>
      </c>
      <c r="C100">
        <v>4</v>
      </c>
      <c r="D100">
        <v>52.924493145107803</v>
      </c>
      <c r="E100">
        <v>77.6053</v>
      </c>
      <c r="F100">
        <v>11.776999999999999</v>
      </c>
      <c r="G100">
        <v>1.726729</v>
      </c>
      <c r="H100">
        <v>7.6</v>
      </c>
      <c r="I100">
        <v>1.036</v>
      </c>
      <c r="J100">
        <v>6.6214766744866189</v>
      </c>
      <c r="K100">
        <v>13309447</v>
      </c>
      <c r="L100">
        <v>19.901087065868971</v>
      </c>
      <c r="M100">
        <v>101.85599999999999</v>
      </c>
    </row>
    <row r="101" spans="1:14">
      <c r="A101">
        <v>1999</v>
      </c>
      <c r="B101">
        <v>-1.6029276252160101</v>
      </c>
      <c r="C101">
        <v>3.5</v>
      </c>
      <c r="D101">
        <v>52.630004882943197</v>
      </c>
      <c r="E101">
        <v>74.015180000000001</v>
      </c>
      <c r="F101">
        <v>11.773999999999999</v>
      </c>
      <c r="G101">
        <v>0.79183599999999998</v>
      </c>
      <c r="H101">
        <v>7.5</v>
      </c>
      <c r="I101">
        <v>1.04</v>
      </c>
      <c r="J101">
        <v>6.2214038844287032</v>
      </c>
      <c r="K101">
        <v>13542147</v>
      </c>
      <c r="L101">
        <v>20.809293939538858</v>
      </c>
      <c r="M101">
        <v>105.97</v>
      </c>
    </row>
    <row r="102" spans="1:14">
      <c r="A102">
        <v>2000</v>
      </c>
      <c r="B102">
        <v>-1.3184226811444699</v>
      </c>
      <c r="C102">
        <v>3.6</v>
      </c>
      <c r="D102">
        <v>51.652285688527499</v>
      </c>
      <c r="E102">
        <v>72.429180000000002</v>
      </c>
      <c r="F102">
        <v>11.481999999999999</v>
      </c>
      <c r="G102">
        <v>1.7781009999999999</v>
      </c>
      <c r="H102">
        <v>7.3</v>
      </c>
      <c r="I102">
        <v>1.006</v>
      </c>
      <c r="J102">
        <v>6.1810539096890009</v>
      </c>
      <c r="K102">
        <v>13801955</v>
      </c>
      <c r="L102">
        <v>21.514353249897706</v>
      </c>
      <c r="M102">
        <v>107.164</v>
      </c>
      <c r="N102">
        <v>9.5844774200000007</v>
      </c>
    </row>
    <row r="103" spans="1:14">
      <c r="A103">
        <v>2001</v>
      </c>
      <c r="B103">
        <v>-1.3792744766610301</v>
      </c>
      <c r="C103">
        <v>2.5</v>
      </c>
      <c r="D103">
        <v>51.718310474470798</v>
      </c>
      <c r="E103">
        <v>71.473079999999996</v>
      </c>
      <c r="F103">
        <v>11.476000000000001</v>
      </c>
      <c r="G103">
        <v>0.74156</v>
      </c>
      <c r="H103">
        <v>7.2</v>
      </c>
      <c r="I103">
        <v>0.98599999999999999</v>
      </c>
      <c r="J103">
        <v>6.1482711719569449</v>
      </c>
      <c r="K103">
        <v>14057476</v>
      </c>
      <c r="L103">
        <v>21.513392276687039</v>
      </c>
      <c r="M103">
        <v>108.581</v>
      </c>
      <c r="N103">
        <v>9.7056274400000007</v>
      </c>
    </row>
    <row r="104" spans="1:14">
      <c r="A104">
        <v>2002</v>
      </c>
      <c r="B104">
        <v>-3.1602899304648</v>
      </c>
      <c r="C104">
        <v>1.8</v>
      </c>
      <c r="D104">
        <v>52.795162099298899</v>
      </c>
      <c r="E104">
        <v>75.161559999999994</v>
      </c>
      <c r="F104">
        <v>11.622</v>
      </c>
      <c r="G104">
        <v>1.56464</v>
      </c>
      <c r="H104">
        <v>7.2</v>
      </c>
      <c r="I104">
        <v>1.04</v>
      </c>
      <c r="J104">
        <v>6.0456311479844853</v>
      </c>
      <c r="K104">
        <v>14286074</v>
      </c>
      <c r="L104">
        <v>20.953389817165448</v>
      </c>
      <c r="M104">
        <v>110.413</v>
      </c>
      <c r="N104">
        <v>10.02218628</v>
      </c>
    </row>
    <row r="105" spans="1:14">
      <c r="A105">
        <v>2003</v>
      </c>
      <c r="B105">
        <v>-4.0155372099497999</v>
      </c>
      <c r="C105">
        <v>1.7</v>
      </c>
      <c r="D105">
        <v>53.270449407843103</v>
      </c>
      <c r="E105">
        <v>79.077569999999994</v>
      </c>
      <c r="F105">
        <v>11.79</v>
      </c>
      <c r="G105">
        <v>-0.1163</v>
      </c>
      <c r="H105">
        <v>7.1</v>
      </c>
      <c r="I105">
        <v>1.054</v>
      </c>
      <c r="J105">
        <v>5.7582656664440997</v>
      </c>
      <c r="K105">
        <v>14514070</v>
      </c>
      <c r="L105">
        <v>21.034840979084617</v>
      </c>
      <c r="M105">
        <v>113.622</v>
      </c>
      <c r="N105">
        <v>10.08283329</v>
      </c>
    </row>
    <row r="106" spans="1:14">
      <c r="A106">
        <v>2004</v>
      </c>
      <c r="B106">
        <v>-3.5905702929368699</v>
      </c>
      <c r="C106">
        <v>2.1</v>
      </c>
      <c r="D106">
        <v>52.984929447655702</v>
      </c>
      <c r="E106">
        <v>80.549449999999993</v>
      </c>
      <c r="F106">
        <v>11.84</v>
      </c>
      <c r="G106">
        <v>0.80539700000000003</v>
      </c>
      <c r="H106">
        <v>7</v>
      </c>
      <c r="I106">
        <v>1.097</v>
      </c>
      <c r="J106">
        <v>5.7279490160652555</v>
      </c>
      <c r="K106">
        <v>14754241</v>
      </c>
      <c r="L106">
        <v>21.364609197432657</v>
      </c>
      <c r="M106">
        <v>120.224</v>
      </c>
      <c r="N106">
        <v>10.16429329</v>
      </c>
    </row>
    <row r="107" spans="1:14">
      <c r="A107">
        <v>2005</v>
      </c>
      <c r="B107">
        <v>-3.3555598970499498</v>
      </c>
      <c r="C107">
        <v>2.5</v>
      </c>
      <c r="D107">
        <v>53.294036388935801</v>
      </c>
      <c r="E107">
        <v>82.142240000000001</v>
      </c>
      <c r="F107">
        <v>12.021000000000001</v>
      </c>
      <c r="G107">
        <v>0.36029699999999998</v>
      </c>
      <c r="H107">
        <v>6.9</v>
      </c>
      <c r="I107">
        <v>1.147</v>
      </c>
      <c r="J107">
        <v>5.6738140616529034</v>
      </c>
      <c r="K107">
        <v>15002391</v>
      </c>
      <c r="L107">
        <v>21.797435309373945</v>
      </c>
      <c r="M107">
        <v>126.624</v>
      </c>
      <c r="N107">
        <v>10.2148447</v>
      </c>
    </row>
    <row r="108" spans="1:14">
      <c r="A108">
        <v>2006</v>
      </c>
      <c r="B108">
        <v>-2.44368560794004</v>
      </c>
      <c r="C108">
        <v>2.1</v>
      </c>
      <c r="D108">
        <v>52.875720578413897</v>
      </c>
      <c r="E108">
        <v>77.269329999999997</v>
      </c>
      <c r="F108">
        <v>11.797000000000001</v>
      </c>
      <c r="G108">
        <v>1.693613</v>
      </c>
      <c r="H108">
        <v>6.8</v>
      </c>
      <c r="I108">
        <v>1.141</v>
      </c>
      <c r="J108">
        <v>5.4360695323075099</v>
      </c>
      <c r="K108">
        <v>15264812</v>
      </c>
      <c r="L108">
        <v>22.450708843595571</v>
      </c>
      <c r="M108">
        <v>131.69300000000001</v>
      </c>
      <c r="N108">
        <v>10.38566494</v>
      </c>
    </row>
    <row r="109" spans="1:14">
      <c r="A109">
        <v>2007</v>
      </c>
      <c r="B109">
        <v>-2.6362962047224601</v>
      </c>
      <c r="C109">
        <v>2.6</v>
      </c>
      <c r="D109">
        <v>52.565464152402001</v>
      </c>
      <c r="E109">
        <v>75.941810000000004</v>
      </c>
      <c r="F109">
        <v>11.888999999999999</v>
      </c>
      <c r="G109">
        <v>-0.63056800000000002</v>
      </c>
      <c r="H109">
        <v>6.6</v>
      </c>
      <c r="I109">
        <v>1.1719999999999999</v>
      </c>
      <c r="J109">
        <v>5.5674493493288333</v>
      </c>
      <c r="K109">
        <v>15556713</v>
      </c>
      <c r="L109">
        <v>23.182665760085712</v>
      </c>
      <c r="M109">
        <v>136.542</v>
      </c>
      <c r="N109">
        <v>10.315644259999999</v>
      </c>
    </row>
    <row r="110" spans="1:14">
      <c r="A110">
        <v>2008</v>
      </c>
      <c r="B110">
        <v>-3.2637348297011601</v>
      </c>
      <c r="C110">
        <v>0.6</v>
      </c>
      <c r="D110">
        <v>53.296258745821603</v>
      </c>
      <c r="E110">
        <v>82.503489999999999</v>
      </c>
      <c r="F110">
        <v>12.179</v>
      </c>
      <c r="G110">
        <v>-1.29498</v>
      </c>
      <c r="H110">
        <v>6.7</v>
      </c>
      <c r="I110">
        <v>1.2170000000000001</v>
      </c>
      <c r="J110">
        <v>5.7719818151514088</v>
      </c>
      <c r="K110">
        <v>15838762</v>
      </c>
      <c r="L110">
        <v>23.596050954135254</v>
      </c>
      <c r="M110">
        <v>137.73699999999999</v>
      </c>
      <c r="N110">
        <v>10.500846859999999</v>
      </c>
    </row>
    <row r="111" spans="1:14">
      <c r="A111">
        <v>2009</v>
      </c>
      <c r="B111">
        <v>-7.1747790512605203</v>
      </c>
      <c r="C111">
        <v>0.2</v>
      </c>
      <c r="D111">
        <v>57.151841310648003</v>
      </c>
      <c r="E111">
        <v>97.573099999999997</v>
      </c>
      <c r="F111">
        <v>13.093</v>
      </c>
      <c r="G111">
        <v>-2.0017510000000001</v>
      </c>
      <c r="H111">
        <v>7.1</v>
      </c>
      <c r="I111">
        <v>1.319</v>
      </c>
      <c r="J111">
        <v>4.9240268723593905</v>
      </c>
      <c r="K111">
        <v>16031712</v>
      </c>
      <c r="L111">
        <v>22.067503880868944</v>
      </c>
      <c r="M111">
        <v>130.303</v>
      </c>
      <c r="N111">
        <v>11.28756237</v>
      </c>
    </row>
    <row r="112" spans="1:14">
      <c r="A112">
        <v>2010</v>
      </c>
      <c r="B112">
        <v>-6.8867216729005198</v>
      </c>
      <c r="C112">
        <v>1.8</v>
      </c>
      <c r="D112">
        <v>56.881785044672696</v>
      </c>
      <c r="E112">
        <v>100.9953</v>
      </c>
      <c r="F112">
        <v>13.18</v>
      </c>
      <c r="G112">
        <v>0.90804700000000005</v>
      </c>
      <c r="H112">
        <v>7</v>
      </c>
      <c r="I112">
        <v>1.3420000000000001</v>
      </c>
      <c r="J112">
        <v>4.9820289356860483</v>
      </c>
      <c r="K112">
        <v>16233568</v>
      </c>
      <c r="L112">
        <v>22.105419315196947</v>
      </c>
      <c r="M112">
        <v>135.578</v>
      </c>
      <c r="N112">
        <v>11.22560215</v>
      </c>
    </row>
    <row r="113" spans="1:14">
      <c r="A113">
        <v>2011</v>
      </c>
      <c r="B113">
        <v>-5.15476088106651</v>
      </c>
      <c r="C113">
        <v>0.6</v>
      </c>
      <c r="D113">
        <v>56.290687252416198</v>
      </c>
      <c r="E113">
        <v>103.8066</v>
      </c>
      <c r="F113">
        <v>13.298999999999999</v>
      </c>
      <c r="G113">
        <v>0.755023</v>
      </c>
      <c r="H113">
        <v>6.8</v>
      </c>
      <c r="I113">
        <v>1.3440000000000001</v>
      </c>
      <c r="J113">
        <v>5.4338468957077097</v>
      </c>
      <c r="K113">
        <v>16442443</v>
      </c>
      <c r="L113">
        <v>22.423870549935408</v>
      </c>
      <c r="M113">
        <v>140.55199999999999</v>
      </c>
      <c r="N113">
        <v>11.184976580000001</v>
      </c>
    </row>
    <row r="114" spans="1:14">
      <c r="A114">
        <v>2012</v>
      </c>
      <c r="B114">
        <v>-4.9809843336186601</v>
      </c>
      <c r="C114">
        <v>-0.5</v>
      </c>
      <c r="D114">
        <v>57.107261934147601</v>
      </c>
      <c r="E114">
        <v>111.93819999999999</v>
      </c>
      <c r="F114">
        <v>13.566000000000001</v>
      </c>
      <c r="G114">
        <v>-0.26594000000000001</v>
      </c>
      <c r="H114">
        <v>6.7</v>
      </c>
      <c r="I114">
        <v>1.4139999999999999</v>
      </c>
      <c r="J114">
        <v>5.1965741388796873</v>
      </c>
      <c r="K114">
        <v>16643017</v>
      </c>
      <c r="L114">
        <v>22.458114787217948</v>
      </c>
      <c r="M114">
        <v>142.52699999999999</v>
      </c>
      <c r="N114">
        <v>11.297400469999999</v>
      </c>
    </row>
    <row r="115" spans="1:14">
      <c r="A115">
        <v>2013</v>
      </c>
      <c r="B115">
        <v>-4.08409452344595</v>
      </c>
      <c r="C115">
        <v>0.5</v>
      </c>
      <c r="D115">
        <v>57.227800344289903</v>
      </c>
      <c r="E115">
        <v>112.4676</v>
      </c>
      <c r="F115">
        <v>13.795999999999999</v>
      </c>
      <c r="G115">
        <v>0.58143800000000001</v>
      </c>
      <c r="H115">
        <v>6.8</v>
      </c>
      <c r="I115">
        <v>1.5780000000000001</v>
      </c>
      <c r="J115">
        <v>4.5943277141830707</v>
      </c>
      <c r="K115">
        <v>16827310</v>
      </c>
      <c r="L115">
        <v>22.041867778455302</v>
      </c>
      <c r="M115">
        <v>144.49</v>
      </c>
      <c r="N115">
        <v>11.416350359999999</v>
      </c>
    </row>
    <row r="116" spans="1:14">
      <c r="A116">
        <v>2014</v>
      </c>
      <c r="B116">
        <v>-3.9046593464867101</v>
      </c>
      <c r="C116">
        <v>0.8</v>
      </c>
      <c r="D116">
        <v>57.213602097641697</v>
      </c>
      <c r="E116">
        <v>120.1551</v>
      </c>
      <c r="F116">
        <v>13.87</v>
      </c>
      <c r="G116">
        <v>0.41842099999999999</v>
      </c>
      <c r="H116">
        <v>6.8</v>
      </c>
      <c r="I116">
        <v>1.593</v>
      </c>
      <c r="J116">
        <v>4.3570569179151715</v>
      </c>
      <c r="K116">
        <v>17002716</v>
      </c>
      <c r="L116">
        <v>21.819733784855554</v>
      </c>
      <c r="M116">
        <v>148.45400000000001</v>
      </c>
      <c r="N116">
        <v>11.54441643</v>
      </c>
    </row>
    <row r="117" spans="1:14">
      <c r="A117">
        <v>2015</v>
      </c>
      <c r="B117">
        <v>-3.6251746699465799</v>
      </c>
      <c r="C117">
        <v>1.5</v>
      </c>
      <c r="D117">
        <v>56.8</v>
      </c>
      <c r="E117">
        <v>120.8252</v>
      </c>
      <c r="F117">
        <v>13.798</v>
      </c>
      <c r="G117">
        <v>0.31839800000000001</v>
      </c>
      <c r="H117">
        <v>6.7</v>
      </c>
      <c r="I117">
        <v>1.5640000000000001</v>
      </c>
      <c r="J117">
        <v>4.0515756759497705</v>
      </c>
      <c r="K117">
        <v>17175696</v>
      </c>
      <c r="L117">
        <v>21.499277666991748</v>
      </c>
      <c r="M117">
        <v>151.68</v>
      </c>
      <c r="N117">
        <v>11.447556499999999</v>
      </c>
    </row>
    <row r="118" spans="1:14">
      <c r="A118">
        <v>2016</v>
      </c>
      <c r="B118">
        <v>-3.6372563983547899</v>
      </c>
      <c r="C118">
        <v>1.8</v>
      </c>
      <c r="D118">
        <v>56.7</v>
      </c>
      <c r="E118">
        <v>123.6707</v>
      </c>
      <c r="F118">
        <v>13.803000000000001</v>
      </c>
      <c r="G118">
        <v>-0.110433</v>
      </c>
      <c r="H118">
        <v>6.7</v>
      </c>
      <c r="I118">
        <v>1.5489999999999999</v>
      </c>
      <c r="J118">
        <v>3.7907200227344111</v>
      </c>
      <c r="K118">
        <v>17357434</v>
      </c>
      <c r="L118">
        <v>21.8153025183416</v>
      </c>
      <c r="M118">
        <v>154.49</v>
      </c>
      <c r="N118">
        <v>11.47163677</v>
      </c>
    </row>
    <row r="119" spans="1:14">
      <c r="A119">
        <v>2017</v>
      </c>
      <c r="B119">
        <v>-2.9584170931926201</v>
      </c>
      <c r="C119">
        <v>1.4</v>
      </c>
      <c r="D119">
        <v>56.5</v>
      </c>
      <c r="E119">
        <v>122.9442</v>
      </c>
      <c r="F119">
        <v>13.641</v>
      </c>
      <c r="G119">
        <v>1.4698850000000001</v>
      </c>
      <c r="H119">
        <v>6.7</v>
      </c>
      <c r="I119">
        <v>1.548</v>
      </c>
      <c r="J119">
        <v>3.5768380098689012</v>
      </c>
      <c r="K119">
        <v>17562930</v>
      </c>
      <c r="L119">
        <v>22.495845017634188</v>
      </c>
      <c r="M119">
        <v>162.011</v>
      </c>
      <c r="N119">
        <v>11.33276176</v>
      </c>
    </row>
    <row r="120" spans="1:14">
      <c r="A120">
        <v>2018</v>
      </c>
      <c r="B120">
        <v>-2.28895454080005</v>
      </c>
      <c r="C120">
        <v>0.9</v>
      </c>
      <c r="D120">
        <v>55.6</v>
      </c>
      <c r="E120">
        <v>120.7452</v>
      </c>
      <c r="F120">
        <v>13.596</v>
      </c>
      <c r="G120">
        <v>4.3905E-2</v>
      </c>
      <c r="H120">
        <v>6.7</v>
      </c>
      <c r="I120">
        <v>1.51</v>
      </c>
      <c r="J120">
        <v>3.5837304898555398</v>
      </c>
      <c r="K120">
        <v>17778742</v>
      </c>
      <c r="L120">
        <v>22.892634301271187</v>
      </c>
      <c r="M120">
        <v>167.72</v>
      </c>
      <c r="N120">
        <v>11.18583012</v>
      </c>
    </row>
    <row r="121" spans="1:14">
      <c r="A121">
        <v>2019</v>
      </c>
      <c r="B121">
        <v>-3.0646507783158699</v>
      </c>
      <c r="D121">
        <v>55.4</v>
      </c>
      <c r="E121">
        <v>123.08799999999999</v>
      </c>
      <c r="G121">
        <v>9.2580999999999997E-2</v>
      </c>
      <c r="H121">
        <v>6.6</v>
      </c>
      <c r="I121">
        <v>1.7789999999999999</v>
      </c>
      <c r="J121">
        <v>3.056062243890846</v>
      </c>
      <c r="K121">
        <v>18013436</v>
      </c>
      <c r="L121">
        <v>23.47738689344385</v>
      </c>
      <c r="M121">
        <v>173.953</v>
      </c>
      <c r="N121">
        <v>11.05747223</v>
      </c>
    </row>
    <row r="122" spans="1:14">
      <c r="A122">
        <v>2020</v>
      </c>
      <c r="B122">
        <v>-9.0856587026566995</v>
      </c>
      <c r="D122">
        <v>61.6</v>
      </c>
      <c r="E122">
        <v>145.80799999999999</v>
      </c>
      <c r="I122">
        <v>1.891</v>
      </c>
      <c r="L122">
        <v>22.964748182694564</v>
      </c>
      <c r="M122">
        <v>161.12200000000001</v>
      </c>
    </row>
    <row r="123" spans="1:14">
      <c r="A123">
        <v>2021</v>
      </c>
    </row>
    <row r="124" spans="1:14">
      <c r="A124">
        <v>2022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8DAC-58DB-084A-8351-0F9F57DBA75A}">
  <dimension ref="A1:N26"/>
  <sheetViews>
    <sheetView tabSelected="1" workbookViewId="0">
      <selection activeCell="N8" sqref="N8"/>
    </sheetView>
  </sheetViews>
  <sheetFormatPr baseColWidth="10" defaultRowHeight="16"/>
  <sheetData>
    <row r="1" spans="1:14">
      <c r="A1" t="s">
        <v>0</v>
      </c>
      <c r="B1" t="s">
        <v>1</v>
      </c>
      <c r="C1" t="s">
        <v>45</v>
      </c>
      <c r="D1" t="s">
        <v>46</v>
      </c>
      <c r="E1" t="s">
        <v>47</v>
      </c>
      <c r="F1" t="s">
        <v>113</v>
      </c>
      <c r="G1" t="s">
        <v>114</v>
      </c>
      <c r="H1" t="s">
        <v>115</v>
      </c>
      <c r="I1" t="s">
        <v>151</v>
      </c>
      <c r="J1" t="s">
        <v>205</v>
      </c>
      <c r="K1" t="s">
        <v>206</v>
      </c>
      <c r="L1" t="s">
        <v>207</v>
      </c>
      <c r="M1" s="3" t="s">
        <v>208</v>
      </c>
      <c r="N1" t="s">
        <v>210</v>
      </c>
    </row>
    <row r="2" spans="1:14">
      <c r="A2">
        <v>1900</v>
      </c>
    </row>
    <row r="3" spans="1:14">
      <c r="A3">
        <v>1905</v>
      </c>
    </row>
    <row r="4" spans="1:14">
      <c r="A4">
        <v>1910</v>
      </c>
    </row>
    <row r="5" spans="1:14">
      <c r="A5">
        <v>1915</v>
      </c>
    </row>
    <row r="6" spans="1:14">
      <c r="A6">
        <v>1920</v>
      </c>
    </row>
    <row r="7" spans="1:14">
      <c r="A7">
        <v>1925</v>
      </c>
    </row>
    <row r="8" spans="1:14">
      <c r="A8">
        <v>1930</v>
      </c>
    </row>
    <row r="9" spans="1:14">
      <c r="A9">
        <v>1935</v>
      </c>
    </row>
    <row r="10" spans="1:14">
      <c r="A10">
        <v>1940</v>
      </c>
    </row>
    <row r="11" spans="1:14">
      <c r="A11">
        <v>1945</v>
      </c>
    </row>
    <row r="12" spans="1:14">
      <c r="A12">
        <v>1950</v>
      </c>
      <c r="K12">
        <f>AVERAGE('Données brutes V2'!K52:K56)</f>
        <v>2719211.5</v>
      </c>
    </row>
    <row r="13" spans="1:14">
      <c r="A13">
        <v>1955</v>
      </c>
      <c r="K13">
        <f>AVERAGE('Données brutes V2'!K57:K61)</f>
        <v>3199894.65</v>
      </c>
    </row>
    <row r="14" spans="1:14">
      <c r="A14">
        <v>1960</v>
      </c>
      <c r="C14">
        <f>AVERAGE('Données brutes V2'!C62:C66)</f>
        <v>6.1800000000000006</v>
      </c>
      <c r="D14">
        <f>AVERAGE('Données brutes V2'!D62:D66)</f>
        <v>36.840139216844719</v>
      </c>
      <c r="K14">
        <f>AVERAGE('Données brutes V2'!K62:K66)</f>
        <v>4024402.95</v>
      </c>
      <c r="L14">
        <f>AVERAGE('Données brutes V2'!L62:L66)</f>
        <v>24.038782907387748</v>
      </c>
    </row>
    <row r="15" spans="1:14">
      <c r="A15">
        <v>1965</v>
      </c>
      <c r="C15">
        <f>AVERAGE('Données brutes V2'!C67:C71)</f>
        <v>4.88</v>
      </c>
      <c r="D15">
        <f>AVERAGE('Données brutes V2'!D67:D71)</f>
        <v>40.18853344788868</v>
      </c>
      <c r="I15">
        <f>AVERAGE('Données brutes V2'!I67:I71)</f>
        <v>1.3224000000000002</v>
      </c>
      <c r="K15">
        <f>AVERAGE('Données brutes V2'!K67:K71)</f>
        <v>5231376.9000000004</v>
      </c>
      <c r="L15">
        <f>AVERAGE('Données brutes V2'!L67:L71)</f>
        <v>26.160309246369593</v>
      </c>
    </row>
    <row r="16" spans="1:14">
      <c r="A16">
        <v>1970</v>
      </c>
      <c r="C16">
        <f>AVERAGE('Données brutes V2'!C72:C76)</f>
        <v>4.76</v>
      </c>
      <c r="D16">
        <f>AVERAGE('Données brutes V2'!D72:D76)</f>
        <v>39.645799230059879</v>
      </c>
      <c r="I16">
        <f>AVERAGE('Données brutes V2'!I72:I76)</f>
        <v>0.4708</v>
      </c>
      <c r="J16">
        <f>AVERAGE('Données brutes V2'!J72:J76)</f>
        <v>1.3731630273220461</v>
      </c>
      <c r="K16">
        <f>AVERAGE('Données brutes V2'!K72:K76)</f>
        <v>6831706.2000000002</v>
      </c>
      <c r="L16">
        <f>AVERAGE('Données brutes V2'!L72:L76)</f>
        <v>26.136327814250837</v>
      </c>
    </row>
    <row r="17" spans="1:14">
      <c r="A17">
        <v>1975</v>
      </c>
      <c r="B17">
        <f>AVERAGE('Données brutes V2'!B77:B81)</f>
        <v>-1.1394911163820551</v>
      </c>
      <c r="C17">
        <f>AVERAGE('Données brutes V2'!C77:C81)</f>
        <v>3.5</v>
      </c>
      <c r="D17">
        <f>AVERAGE('Données brutes V2'!D77:D81)</f>
        <v>44.874564897011041</v>
      </c>
      <c r="I17">
        <f>AVERAGE('Données brutes V2'!I77:I81)</f>
        <v>0.78359999999999996</v>
      </c>
      <c r="J17">
        <f>AVERAGE('Données brutes V2'!J77:J81)</f>
        <v>2.1277609312263288</v>
      </c>
      <c r="K17">
        <f>AVERAGE('Données brutes V2'!K77:K81)</f>
        <v>8435766.8000000007</v>
      </c>
      <c r="L17">
        <f>AVERAGE('Données brutes V2'!L77:L81)</f>
        <v>24.35447061960388</v>
      </c>
    </row>
    <row r="18" spans="1:14">
      <c r="A18">
        <v>1980</v>
      </c>
      <c r="B18">
        <f>AVERAGE('Données brutes V2'!B82:B86)</f>
        <v>-2.1899382882648823</v>
      </c>
      <c r="C18">
        <f>AVERAGE('Données brutes V2'!C82:C86)</f>
        <v>1.6</v>
      </c>
      <c r="D18">
        <f>AVERAGE('Données brutes V2'!D82:D86)</f>
        <v>49.347423704251852</v>
      </c>
      <c r="F18">
        <f>AVERAGE('Données brutes V2'!F82:F86)</f>
        <v>9.6930000000000014</v>
      </c>
      <c r="H18">
        <f>AVERAGE('Données brutes V2'!H82:H86)</f>
        <v>6.74</v>
      </c>
      <c r="I18">
        <f>AVERAGE('Données brutes V2'!I82:I86)</f>
        <v>0.91120000000000001</v>
      </c>
      <c r="J18">
        <f>AVERAGE('Données brutes V2'!J82:J86)</f>
        <v>3.3776046994214632</v>
      </c>
      <c r="K18">
        <f>AVERAGE('Données brutes V2'!K82:K86)</f>
        <v>9755796</v>
      </c>
      <c r="L18">
        <f>AVERAGE('Données brutes V2'!L82:L86)</f>
        <v>22.965395469849163</v>
      </c>
    </row>
    <row r="19" spans="1:14">
      <c r="A19">
        <v>1985</v>
      </c>
      <c r="B19">
        <f>AVERAGE('Données brutes V2'!B87:B91)</f>
        <v>-2.5061546369318544</v>
      </c>
      <c r="C19">
        <f>AVERAGE('Données brutes V2'!C87:C91)</f>
        <v>3.06</v>
      </c>
      <c r="D19">
        <f>AVERAGE('Données brutes V2'!D87:D91)</f>
        <v>51.129680779174699</v>
      </c>
      <c r="F19">
        <f>AVERAGE('Données brutes V2'!F87:F91)</f>
        <v>10.213200000000001</v>
      </c>
      <c r="G19">
        <f>AVERAGE('Données brutes V2'!G87:G91)</f>
        <v>1.8170099999999998</v>
      </c>
      <c r="H19">
        <f>AVERAGE('Données brutes V2'!H87:H91)</f>
        <v>6.7</v>
      </c>
      <c r="I19">
        <f>AVERAGE('Données brutes V2'!I87:I91)</f>
        <v>0.81140000000000012</v>
      </c>
      <c r="J19">
        <f>AVERAGE('Données brutes V2'!J87:J91)</f>
        <v>4.5194232061032675</v>
      </c>
      <c r="K19">
        <f>AVERAGE('Données brutes V2'!K87:K91)</f>
        <v>10840147.4</v>
      </c>
      <c r="L19">
        <f>AVERAGE('Données brutes V2'!L87:L91)</f>
        <v>22.009345747945233</v>
      </c>
    </row>
    <row r="20" spans="1:14">
      <c r="A20">
        <v>1990</v>
      </c>
      <c r="B20">
        <f>AVERAGE('Données brutes V2'!B92:B96)</f>
        <v>-4.3359855093094835</v>
      </c>
      <c r="C20">
        <f>AVERAGE('Données brutes V2'!C92:C96)</f>
        <v>1.1000000000000001</v>
      </c>
      <c r="D20">
        <f>AVERAGE('Données brutes V2'!D92:D96)</f>
        <v>52.764963488897919</v>
      </c>
      <c r="F20">
        <f>AVERAGE('Données brutes V2'!F92:F96)</f>
        <v>11.0494</v>
      </c>
      <c r="G20">
        <f>AVERAGE('Données brutes V2'!G92:G96)</f>
        <v>0.6577636</v>
      </c>
      <c r="H20">
        <f>AVERAGE('Données brutes V2'!H92:H96)</f>
        <v>7.2800000000000011</v>
      </c>
      <c r="I20">
        <f>AVERAGE('Données brutes V2'!I92:I96)</f>
        <v>0.87819999999999998</v>
      </c>
      <c r="J20">
        <f>AVERAGE('Données brutes V2'!J92:J96)</f>
        <v>5.740400578511534</v>
      </c>
      <c r="K20">
        <f>AVERAGE('Données brutes V2'!K92:K96)</f>
        <v>12142928.800000001</v>
      </c>
      <c r="L20">
        <f>AVERAGE('Données brutes V2'!L92:L96)</f>
        <v>21.954389888362797</v>
      </c>
    </row>
    <row r="21" spans="1:14">
      <c r="A21">
        <v>1995</v>
      </c>
      <c r="B21">
        <f>AVERAGE('Données brutes V2'!B97:B101)</f>
        <v>-3.3297243213267742</v>
      </c>
      <c r="C21">
        <f>AVERAGE('Données brutes V2'!C97:C101)</f>
        <v>2.2999999999999998</v>
      </c>
      <c r="D21">
        <f>AVERAGE('Données brutes V2'!D97:D101)</f>
        <v>53.954989017260985</v>
      </c>
      <c r="E21">
        <f>AVERAGE('Données brutes V2'!E97:E101)</f>
        <v>73.630963999999992</v>
      </c>
      <c r="F21">
        <f>AVERAGE('Données brutes V2'!F97:F101)</f>
        <v>11.840399999999999</v>
      </c>
      <c r="G21">
        <f>AVERAGE('Données brutes V2'!G97:G101)</f>
        <v>1.0773581999999999</v>
      </c>
      <c r="H21">
        <f>AVERAGE('Données brutes V2'!H97:H101)</f>
        <v>7.6400000000000006</v>
      </c>
      <c r="I21">
        <f>AVERAGE('Données brutes V2'!I97:I101)</f>
        <v>1.0646</v>
      </c>
      <c r="J21">
        <f>AVERAGE('Données brutes V2'!J97:J101)</f>
        <v>6.4653584274503402</v>
      </c>
      <c r="K21">
        <f>AVERAGE('Données brutes V2'!K97:K101)</f>
        <v>13131118</v>
      </c>
      <c r="L21">
        <f>AVERAGE('Données brutes V2'!L97:L101)</f>
        <v>20.032797707821736</v>
      </c>
      <c r="M21">
        <f>AVERAGE('Données brutes V2'!M97:M101)</f>
        <v>98.444000000000003</v>
      </c>
    </row>
    <row r="22" spans="1:14">
      <c r="A22">
        <v>2000</v>
      </c>
      <c r="B22">
        <f>AVERAGE('Données brutes V2'!B102:B106)</f>
        <v>-2.6928189182313944</v>
      </c>
      <c r="C22">
        <f>AVERAGE('Données brutes V2'!C102:C106)</f>
        <v>2.34</v>
      </c>
      <c r="D22">
        <f>AVERAGE('Données brutes V2'!D102:D106)</f>
        <v>52.484227423559197</v>
      </c>
      <c r="E22">
        <f>AVERAGE('Données brutes V2'!E102:E106)</f>
        <v>75.738168000000002</v>
      </c>
      <c r="F22">
        <f>AVERAGE('Données brutes V2'!F102:F106)</f>
        <v>11.641999999999999</v>
      </c>
      <c r="G22">
        <f>AVERAGE('Données brutes V2'!G102:G106)</f>
        <v>0.95467960000000007</v>
      </c>
      <c r="H22">
        <f>AVERAGE('Données brutes V2'!H102:H106)</f>
        <v>7.1599999999999993</v>
      </c>
      <c r="I22">
        <f>AVERAGE('Données brutes V2'!I102:I106)</f>
        <v>1.0366</v>
      </c>
      <c r="J22">
        <f>AVERAGE('Données brutes V2'!J102:J106)</f>
        <v>5.9722341824279574</v>
      </c>
      <c r="K22">
        <f>AVERAGE('Données brutes V2'!K102:K106)</f>
        <v>14282763.199999999</v>
      </c>
      <c r="L22">
        <f>AVERAGE('Données brutes V2'!L102:L106)</f>
        <v>21.276117104053494</v>
      </c>
      <c r="M22">
        <f>AVERAGE('Données brutes V2'!M102:M106)</f>
        <v>112.0008</v>
      </c>
      <c r="N22">
        <f>AVERAGE('Données brutes V2'!N102:N106)</f>
        <v>9.9118835440000002</v>
      </c>
    </row>
    <row r="23" spans="1:14">
      <c r="A23">
        <v>2005</v>
      </c>
      <c r="B23">
        <f>AVERAGE('Données brutes V2'!B107:B111)</f>
        <v>-3.7748111181348265</v>
      </c>
      <c r="C23">
        <f>AVERAGE('Données brutes V2'!C107:C111)</f>
        <v>1.5999999999999999</v>
      </c>
      <c r="D23">
        <f>AVERAGE('Données brutes V2'!D107:D111)</f>
        <v>53.836664235244271</v>
      </c>
      <c r="E23">
        <f>AVERAGE('Données brutes V2'!E107:E111)</f>
        <v>83.085993999999999</v>
      </c>
      <c r="F23">
        <f>AVERAGE('Données brutes V2'!F107:F111)</f>
        <v>12.1958</v>
      </c>
      <c r="G23">
        <f>AVERAGE('Données brutes V2'!G107:G111)</f>
        <v>-0.37467780000000001</v>
      </c>
      <c r="H23">
        <f>AVERAGE('Données brutes V2'!H107:H111)</f>
        <v>6.8199999999999985</v>
      </c>
      <c r="I23">
        <f>AVERAGE('Données brutes V2'!I107:I111)</f>
        <v>1.1991999999999998</v>
      </c>
      <c r="J23">
        <f>AVERAGE('Données brutes V2'!J107:J111)</f>
        <v>5.4746683261600095</v>
      </c>
      <c r="K23">
        <f>AVERAGE('Données brutes V2'!K107:K111)</f>
        <v>15538878</v>
      </c>
      <c r="L23">
        <f>AVERAGE('Données brutes V2'!L107:L111)</f>
        <v>22.618872949611884</v>
      </c>
      <c r="M23">
        <f>AVERAGE('Données brutes V2'!M107:M111)</f>
        <v>132.57980000000001</v>
      </c>
      <c r="N23">
        <f>AVERAGE('Données brutes V2'!N107:N111)</f>
        <v>10.540912625999999</v>
      </c>
    </row>
    <row r="24" spans="1:14">
      <c r="A24">
        <v>2010</v>
      </c>
      <c r="B24">
        <f>AVERAGE('Données brutes V2'!B112:B116)</f>
        <v>-5.0022441515036702</v>
      </c>
      <c r="C24">
        <f>AVERAGE('Données brutes V2'!C112:C116)</f>
        <v>0.64</v>
      </c>
      <c r="D24">
        <f>AVERAGE('Données brutes V2'!D112:D116)</f>
        <v>56.944227334633617</v>
      </c>
      <c r="E24">
        <f>AVERAGE('Données brutes V2'!E112:E116)</f>
        <v>109.87255999999999</v>
      </c>
      <c r="F24">
        <f>AVERAGE('Données brutes V2'!F112:F116)</f>
        <v>13.542199999999999</v>
      </c>
      <c r="G24">
        <f>AVERAGE('Données brutes V2'!G112:G116)</f>
        <v>0.47939779999999999</v>
      </c>
      <c r="H24">
        <f>AVERAGE('Données brutes V2'!H112:H116)</f>
        <v>6.82</v>
      </c>
      <c r="I24">
        <f>AVERAGE('Données brutes V2'!I112:I116)</f>
        <v>1.4541999999999999</v>
      </c>
      <c r="J24">
        <f>AVERAGE('Données brutes V2'!J112:J116)</f>
        <v>4.9127669204743372</v>
      </c>
      <c r="K24">
        <f>AVERAGE('Données brutes V2'!K112:K116)</f>
        <v>16629810.800000001</v>
      </c>
      <c r="L24">
        <f>AVERAGE('Données brutes V2'!L112:L116)</f>
        <v>22.169801243132234</v>
      </c>
      <c r="M24">
        <f>AVERAGE('Données brutes V2'!M112:M116)</f>
        <v>142.32019999999997</v>
      </c>
      <c r="N24">
        <f>AVERAGE('Données brutes V2'!N112:N116)</f>
        <v>11.333749197999998</v>
      </c>
    </row>
    <row r="25" spans="1:14">
      <c r="A25">
        <v>2015</v>
      </c>
      <c r="B25">
        <f>AVERAGE('Données brutes V2'!B117:B121)</f>
        <v>-3.1148906961219822</v>
      </c>
      <c r="C25">
        <f>AVERAGE('Données brutes V2'!C117:C121)</f>
        <v>1.4</v>
      </c>
      <c r="D25">
        <f>AVERAGE('Données brutes V2'!D117:D121)</f>
        <v>56.2</v>
      </c>
      <c r="E25">
        <f>AVERAGE('Données brutes V2'!E117:E121)</f>
        <v>122.25466000000002</v>
      </c>
      <c r="F25">
        <f>AVERAGE('Données brutes V2'!F117:F121)</f>
        <v>13.709499999999998</v>
      </c>
      <c r="G25">
        <f>AVERAGE('Données brutes V2'!G117:G121)</f>
        <v>0.36286720000000006</v>
      </c>
      <c r="H25">
        <f>AVERAGE('Données brutes V2'!H117:H121)</f>
        <v>6.68</v>
      </c>
      <c r="I25">
        <f>AVERAGE('Données brutes V2'!I117:I121)</f>
        <v>1.5899999999999999</v>
      </c>
      <c r="J25">
        <f>AVERAGE('Données brutes V2'!J117:J121)</f>
        <v>3.611785288459894</v>
      </c>
      <c r="K25">
        <f>AVERAGE('Données brutes V2'!K117:K121)</f>
        <v>17577647.600000001</v>
      </c>
      <c r="L25">
        <f>AVERAGE('Données brutes V2'!L117:L121)</f>
        <v>22.436089279536514</v>
      </c>
      <c r="M25">
        <f>AVERAGE('Données brutes V2'!M117:M121)</f>
        <v>161.9708</v>
      </c>
      <c r="N25">
        <f>AVERAGE('Données brutes V2'!N117:N121)</f>
        <v>11.299051476000001</v>
      </c>
    </row>
    <row r="26" spans="1:14">
      <c r="A26">
        <v>2020</v>
      </c>
      <c r="B26">
        <f>AVERAGE('Données brutes V2'!B122:B126)</f>
        <v>-9.0856587026566995</v>
      </c>
      <c r="D26">
        <f>AVERAGE('Données brutes V2'!D122:D126)</f>
        <v>61.6</v>
      </c>
      <c r="E26">
        <f>AVERAGE('Données brutes V2'!E122:E126)</f>
        <v>145.80799999999999</v>
      </c>
      <c r="I26">
        <f>AVERAGE('Données brutes V2'!I122:I126)</f>
        <v>1.891</v>
      </c>
      <c r="L26">
        <f>AVERAGE('Données brutes V2'!L122:L126)</f>
        <v>22.964748182694564</v>
      </c>
      <c r="M26">
        <f>AVERAGE('Données brutes V2'!M122:M126)</f>
        <v>161.12200000000001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brutes</vt:lpstr>
      <vt:lpstr>Données brutes V2</vt:lpstr>
      <vt:lpstr>Quinq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2022-02-24T15:21:25Z</dcterms:created>
  <dcterms:modified xsi:type="dcterms:W3CDTF">2022-03-02T10:51:22Z</dcterms:modified>
</cp:coreProperties>
</file>